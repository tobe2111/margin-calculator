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쇼피 국가별" sheetId="2" state="visible" r:id="rId2"/>
    <sheet name="큐텐 재팬" sheetId="3" state="visible" r:id="rId3"/>
    <sheet name="상품 일괄계산" sheetId="4" state="visible" r:id="rId4"/>
    <sheet name="요약" sheetId="5" state="visible" r:id="rId5"/>
    <sheet name="사용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0.0%"/>
    <numFmt numFmtId="166" formatCode="#,##0.00000"/>
  </numFmts>
  <fonts count="8">
    <font>
      <name val="Calibri"/>
      <family val="2"/>
      <color theme="1"/>
      <sz val="11"/>
      <scheme val="minor"/>
    </font>
    <font>
      <name val="맑은 고딕"/>
      <b val="1"/>
      <color rgb="0014161A"/>
      <sz val="15"/>
    </font>
    <font>
      <name val="맑은 고딕"/>
      <color rgb="005C636E"/>
      <sz val="9"/>
    </font>
    <font>
      <name val="맑은 고딕"/>
      <b val="1"/>
      <color rgb="0014161A"/>
      <sz val="11"/>
    </font>
    <font>
      <name val="맑은 고딕"/>
      <color rgb="0014161A"/>
      <sz val="10"/>
    </font>
    <font>
      <name val="맑은 고딕"/>
      <b val="1"/>
      <color rgb="00FFFFFF"/>
      <sz val="10"/>
    </font>
    <font>
      <name val="맑은 고딕"/>
      <b val="1"/>
      <color rgb="0014161A"/>
      <sz val="10"/>
    </font>
    <font>
      <name val="맑은 고딕"/>
      <b val="1"/>
      <color rgb="0014161A"/>
      <sz val="13"/>
    </font>
  </fonts>
  <fills count="6">
    <fill>
      <patternFill/>
    </fill>
    <fill>
      <patternFill patternType="gray125"/>
    </fill>
    <fill>
      <patternFill patternType="solid">
        <fgColor rgb="00F4F5F7"/>
      </patternFill>
    </fill>
    <fill>
      <patternFill patternType="solid">
        <fgColor rgb="00FFF8E1"/>
      </patternFill>
    </fill>
    <fill>
      <patternFill patternType="solid">
        <fgColor rgb="001B58BF"/>
      </patternFill>
    </fill>
    <fill>
      <patternFill patternType="solid">
        <fgColor rgb="00E8F1FE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6" fontId="4" fillId="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4" fontId="4" fillId="2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164" fontId="6" fillId="2" borderId="1" applyAlignment="1" pivotButton="0" quotePrefix="0" xfId="0">
      <alignment horizontal="right" vertical="center"/>
    </xf>
    <xf numFmtId="165" fontId="6" fillId="2" borderId="1" applyAlignment="1" pivotButton="0" quotePrefix="0" xfId="0">
      <alignment horizontal="right" vertical="center"/>
    </xf>
    <xf numFmtId="3" fontId="6" fillId="2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0" fontId="4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name val="맑은 고딕"/>
        <b val="1"/>
        <color rgb="00C42A44"/>
        <sz val="10"/>
      </font>
    </dxf>
    <dxf>
      <font>
        <name val="맑은 고딕"/>
        <b val="1"/>
        <color rgb="000B7A5C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4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유어팀 마진 계산기 — 설정</t>
        </is>
      </c>
      <c r="F1" s="2" t="inlineStr">
        <is>
          <t>여기 값을 바꾸면 쇼피·큐텐·일괄계산 시트가 한꺼번에 다시 계산됩니다.</t>
        </is>
      </c>
    </row>
    <row r="3">
      <c r="A3" s="3" t="inlineStr">
        <is>
          <t>공통 비용</t>
        </is>
      </c>
      <c r="B3" s="4" t="n"/>
      <c r="C3" s="5" t="n"/>
    </row>
    <row r="4">
      <c r="A4" s="6" t="inlineStr">
        <is>
          <t>상품명</t>
        </is>
      </c>
      <c r="B4" s="7" t="n"/>
      <c r="C4" s="8" t="inlineStr">
        <is>
          <t>샘플 상품</t>
        </is>
      </c>
    </row>
    <row r="5">
      <c r="A5" s="6" t="inlineStr">
        <is>
          <t>상품원가 (원)</t>
        </is>
      </c>
      <c r="B5" s="7" t="n"/>
      <c r="C5" s="9" t="n">
        <v>12000</v>
      </c>
      <c r="D5" s="2" t="inlineStr">
        <is>
          <t>매입가. 부가세 환급을 반영하려면 공급가액으로</t>
        </is>
      </c>
    </row>
    <row r="6">
      <c r="A6" s="6" t="inlineStr">
        <is>
          <t>국내배송비 (원)</t>
        </is>
      </c>
      <c r="B6" s="7" t="n"/>
      <c r="C6" s="9" t="n">
        <v>3000</v>
      </c>
      <c r="D6" s="2" t="inlineStr">
        <is>
          <t>국내 집하까지</t>
        </is>
      </c>
    </row>
    <row r="7">
      <c r="A7" s="6" t="inlineStr">
        <is>
          <t>포장비 (원)</t>
        </is>
      </c>
      <c r="B7" s="7" t="n"/>
      <c r="C7" s="9" t="n">
        <v>800</v>
      </c>
      <c r="D7" s="2" t="inlineStr">
        <is>
          <t>박스·완충재·라벨</t>
        </is>
      </c>
    </row>
    <row r="8">
      <c r="A8" s="6" t="inlineStr">
        <is>
          <t>개당 광고비 (원)</t>
        </is>
      </c>
      <c r="B8" s="7" t="n"/>
      <c r="C8" s="9" t="n">
        <v>1500</v>
      </c>
      <c r="D8" s="2" t="inlineStr">
        <is>
          <t>광고비 ÷ 예상 판매수량</t>
        </is>
      </c>
    </row>
    <row r="9">
      <c r="A9" s="6" t="inlineStr">
        <is>
          <t>반품률</t>
        </is>
      </c>
      <c r="B9" s="7" t="n"/>
      <c r="C9" s="10" t="n">
        <v>0.03</v>
      </c>
      <c r="D9" s="2" t="inlineStr">
        <is>
          <t>반품 시 원가·배송비를 회수 못 한다고 봄</t>
        </is>
      </c>
    </row>
    <row r="10">
      <c r="A10" s="6" t="inlineStr">
        <is>
          <t>목표 마진율</t>
        </is>
      </c>
      <c r="B10" s="7" t="n"/>
      <c r="C10" s="10" t="n">
        <v>0.2</v>
      </c>
      <c r="D10" s="2" t="inlineStr">
        <is>
          <t>판매가 역산에 사용</t>
        </is>
      </c>
    </row>
    <row r="13">
      <c r="A13" s="3" t="inlineStr">
        <is>
          <t>환율 (1통화 = ? 원)</t>
        </is>
      </c>
      <c r="B13" s="4" t="n"/>
      <c r="C13" s="5" t="n"/>
    </row>
    <row r="14">
      <c r="A14" s="11" t="inlineStr">
        <is>
          <t>통화</t>
        </is>
      </c>
      <c r="B14" s="11" t="inlineStr">
        <is>
          <t>원화</t>
        </is>
      </c>
      <c r="C14" s="11" t="inlineStr">
        <is>
          <t>메모</t>
        </is>
      </c>
      <c r="D14" s="12" t="n"/>
      <c r="F14" s="13" t="inlineStr">
        <is>
          <t>환율은 매일 바뀝니다.
https://margin.ur-team.com 왼쪽 사이드바에 실시간 환율이 떠 있으니
그 값을 여기에 옮겨 적으면 가장 정확합니다.
쇼피 시트의 환율 칸은 이 표를 자동으로 찾아옵니다.
큐텐 시트는 JPY 행을 봅니다.</t>
        </is>
      </c>
    </row>
    <row r="15">
      <c r="A15" s="14" t="inlineStr">
        <is>
          <t>SGD</t>
        </is>
      </c>
      <c r="B15" s="15" t="n">
        <v>1070</v>
      </c>
      <c r="C15" s="16" t="inlineStr">
        <is>
          <t>싱가포르 달러</t>
        </is>
      </c>
      <c r="D15" s="7" t="n"/>
    </row>
    <row r="16">
      <c r="A16" s="14" t="inlineStr">
        <is>
          <t>MYR</t>
        </is>
      </c>
      <c r="B16" s="15" t="n">
        <v>330</v>
      </c>
      <c r="C16" s="16" t="inlineStr">
        <is>
          <t>말레이시아 링깃</t>
        </is>
      </c>
      <c r="D16" s="7" t="n"/>
    </row>
    <row r="17">
      <c r="A17" s="14" t="inlineStr">
        <is>
          <t>THB</t>
        </is>
      </c>
      <c r="B17" s="15" t="n">
        <v>42</v>
      </c>
      <c r="C17" s="16" t="inlineStr">
        <is>
          <t>태국 바트</t>
        </is>
      </c>
      <c r="D17" s="7" t="n"/>
    </row>
    <row r="18">
      <c r="A18" s="14" t="inlineStr">
        <is>
          <t>PHP</t>
        </is>
      </c>
      <c r="B18" s="15" t="n">
        <v>24</v>
      </c>
      <c r="C18" s="16" t="inlineStr">
        <is>
          <t>필리핀 페소</t>
        </is>
      </c>
      <c r="D18" s="7" t="n"/>
    </row>
    <row r="19">
      <c r="A19" s="14" t="inlineStr">
        <is>
          <t>VND</t>
        </is>
      </c>
      <c r="B19" s="17" t="n">
        <v>0.055</v>
      </c>
      <c r="C19" s="16" t="inlineStr">
        <is>
          <t>베트남 동</t>
        </is>
      </c>
      <c r="D19" s="7" t="n"/>
    </row>
    <row r="20">
      <c r="A20" s="14" t="inlineStr">
        <is>
          <t>TWD</t>
        </is>
      </c>
      <c r="B20" s="15" t="n">
        <v>44</v>
      </c>
      <c r="C20" s="16" t="inlineStr">
        <is>
          <t>대만 달러</t>
        </is>
      </c>
      <c r="D20" s="7" t="n"/>
    </row>
    <row r="21">
      <c r="A21" s="14" t="inlineStr">
        <is>
          <t>BRL</t>
        </is>
      </c>
      <c r="B21" s="15" t="n">
        <v>250</v>
      </c>
      <c r="C21" s="16" t="inlineStr">
        <is>
          <t>브라질 헤알</t>
        </is>
      </c>
      <c r="D21" s="7" t="n"/>
    </row>
    <row r="22">
      <c r="A22" s="14" t="inlineStr">
        <is>
          <t>MXN</t>
        </is>
      </c>
      <c r="B22" s="15" t="n">
        <v>72</v>
      </c>
      <c r="C22" s="16" t="inlineStr">
        <is>
          <t>멕시코 페소</t>
        </is>
      </c>
      <c r="D22" s="7" t="n"/>
    </row>
    <row r="23">
      <c r="A23" s="14" t="inlineStr">
        <is>
          <t>JPY</t>
        </is>
      </c>
      <c r="B23" s="15" t="n">
        <v>9.300000000000001</v>
      </c>
      <c r="C23" s="16" t="inlineStr">
        <is>
          <t>일본 엔 — 큐텐 재팬이 참조</t>
        </is>
      </c>
      <c r="D23" s="7" t="n"/>
    </row>
    <row r="24">
      <c r="A24" s="14" t="inlineStr">
        <is>
          <t>USD</t>
        </is>
      </c>
      <c r="B24" s="15" t="n">
        <v>1380</v>
      </c>
      <c r="C24" s="16" t="inlineStr">
        <is>
          <t>미국 달러</t>
        </is>
      </c>
      <c r="D24" s="7" t="n"/>
    </row>
    <row r="26">
      <c r="A26" s="2" t="inlineStr">
        <is>
          <t>노랑 = 직접 입력    ·    파랑 = 설정 시트에서 가져옴(덮어써도 됨)    ·    회색 = 자동 계산</t>
        </is>
      </c>
    </row>
  </sheetData>
  <mergeCells count="22">
    <mergeCell ref="C24:D24"/>
    <mergeCell ref="C15:D15"/>
    <mergeCell ref="C14:D14"/>
    <mergeCell ref="A3:C3"/>
    <mergeCell ref="F14:J22"/>
    <mergeCell ref="A6:B6"/>
    <mergeCell ref="C20:D20"/>
    <mergeCell ref="A7:B7"/>
    <mergeCell ref="C16:D16"/>
    <mergeCell ref="C22:D22"/>
    <mergeCell ref="A1:D1"/>
    <mergeCell ref="A13:C13"/>
    <mergeCell ref="C21:D21"/>
    <mergeCell ref="A5:B5"/>
    <mergeCell ref="C17:D17"/>
    <mergeCell ref="A8:B8"/>
    <mergeCell ref="C23:D23"/>
    <mergeCell ref="A4:B4"/>
    <mergeCell ref="A10:B10"/>
    <mergeCell ref="C19:D19"/>
    <mergeCell ref="C18:D18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1" customWidth="1" min="8" max="8"/>
    <col width="14" customWidth="1" min="9" max="9"/>
    <col width="13" customWidth="1" min="10" max="10"/>
    <col width="13" customWidth="1" min="11" max="11"/>
    <col width="14" customWidth="1" min="12" max="12"/>
    <col width="9" customWidth="1" min="13" max="13"/>
    <col width="9" customWidth="1" min="14" max="14"/>
    <col width="14" customWidth="1" min="15" max="15"/>
    <col width="16" customWidth="1" min="16" max="16"/>
  </cols>
  <sheetData>
    <row r="1" ht="26" customHeight="1">
      <c r="A1" s="1" t="inlineStr">
        <is>
          <t>쇼피(Shopee) 국가별 마진 비교</t>
        </is>
      </c>
      <c r="H1" s="2" t="inlineStr">
        <is>
          <t>상품원가·국내배송비·포장비·광고비·반품률은 [설정] 시트에서 가져옵니다.</t>
        </is>
      </c>
    </row>
    <row r="3">
      <c r="A3" s="3" t="inlineStr">
        <is>
          <t>설정에서 가져온 공통값</t>
        </is>
      </c>
      <c r="B3" s="4" t="n"/>
      <c r="C3" s="4" t="n"/>
      <c r="D3" s="5" t="n"/>
    </row>
    <row r="4">
      <c r="A4" s="18" t="inlineStr">
        <is>
          <t>상품원가</t>
        </is>
      </c>
      <c r="B4" s="19">
        <f>'설정'!$C$5</f>
        <v/>
      </c>
      <c r="C4" s="18" t="inlineStr">
        <is>
          <t>국내배송비</t>
        </is>
      </c>
      <c r="D4" s="19">
        <f>'설정'!$C$6</f>
        <v/>
      </c>
      <c r="E4" s="18" t="inlineStr">
        <is>
          <t>포장비</t>
        </is>
      </c>
      <c r="F4" s="19">
        <f>'설정'!$C$7</f>
        <v/>
      </c>
      <c r="G4" s="18" t="inlineStr">
        <is>
          <t>광고비</t>
        </is>
      </c>
      <c r="H4" s="19">
        <f>'설정'!$C$8</f>
        <v/>
      </c>
      <c r="I4" s="18" t="inlineStr">
        <is>
          <t>반품률</t>
        </is>
      </c>
      <c r="J4" s="20">
        <f>'설정'!$C$9</f>
        <v/>
      </c>
      <c r="K4" s="18" t="inlineStr">
        <is>
          <t>목표마진</t>
        </is>
      </c>
      <c r="L4" s="20">
        <f>'설정'!$C$10</f>
        <v/>
      </c>
    </row>
    <row r="6" ht="34" customHeight="1">
      <c r="A6" s="11" t="inlineStr">
        <is>
          <t>국가</t>
        </is>
      </c>
      <c r="B6" s="11" t="inlineStr">
        <is>
          <t>통화</t>
        </is>
      </c>
      <c r="C6" s="11" t="inlineStr">
        <is>
          <t>환율
(자동)</t>
        </is>
      </c>
      <c r="D6" s="11" t="inlineStr">
        <is>
          <t>판매가격
(현지통화)</t>
        </is>
      </c>
      <c r="E6" s="11" t="inlineStr">
        <is>
          <t>국제배송비
(원)</t>
        </is>
      </c>
      <c r="F6" s="11" t="inlineStr">
        <is>
          <t>판매
수수료율</t>
        </is>
      </c>
      <c r="G6" s="11" t="inlineStr">
        <is>
          <t>결제
수수료율</t>
        </is>
      </c>
      <c r="H6" s="11" t="inlineStr">
        <is>
          <t>기타비용
(원)</t>
        </is>
      </c>
      <c r="I6" s="11" t="inlineStr">
        <is>
          <t>판매가격
(원)</t>
        </is>
      </c>
      <c r="J6" s="11" t="inlineStr">
        <is>
          <t>쇼피 수수료
(원)</t>
        </is>
      </c>
      <c r="K6" s="11" t="inlineStr">
        <is>
          <t>총비용
(원)</t>
        </is>
      </c>
      <c r="L6" s="11" t="inlineStr">
        <is>
          <t>순이익
(원)</t>
        </is>
      </c>
      <c r="M6" s="11" t="inlineStr">
        <is>
          <t>마진율</t>
        </is>
      </c>
      <c r="N6" s="11" t="inlineStr">
        <is>
          <t>ROI</t>
        </is>
      </c>
      <c r="O6" s="11" t="inlineStr">
        <is>
          <t>손익분기가
(현지통화)</t>
        </is>
      </c>
      <c r="P6" s="11" t="inlineStr">
        <is>
          <t>목표마진 판매가
(현지통화)</t>
        </is>
      </c>
    </row>
    <row r="7">
      <c r="A7" s="21" t="inlineStr">
        <is>
          <t>싱가포르</t>
        </is>
      </c>
      <c r="B7" s="22" t="inlineStr">
        <is>
          <t>SGD</t>
        </is>
      </c>
      <c r="C7" s="23">
        <f>IFERROR(VLOOKUP(B7,'설정'!$A$15:$B$24,2,FALSE),0)</f>
        <v/>
      </c>
      <c r="D7" s="15" t="n">
        <v>31</v>
      </c>
      <c r="E7" s="9" t="n">
        <v>6000</v>
      </c>
      <c r="F7" s="10" t="n">
        <v>0.06</v>
      </c>
      <c r="G7" s="10" t="n">
        <v>0.02</v>
      </c>
      <c r="H7" s="9" t="n">
        <v>0</v>
      </c>
      <c r="I7" s="24">
        <f>D7*C7</f>
        <v/>
      </c>
      <c r="J7" s="24">
        <f>I7*(F7+G7)</f>
        <v/>
      </c>
      <c r="K7" s="24">
        <f>'설정'!$C$5+'설정'!$C$6+'설정'!$C$7+'설정'!$C$8+E7+J7+H7+'설정'!$C$9*('설정'!$C$5+'설정'!$C$6+'설정'!$C$7+E7+J7)</f>
        <v/>
      </c>
      <c r="L7" s="24">
        <f>I7-K7</f>
        <v/>
      </c>
      <c r="M7" s="25">
        <f>IF(I7=0,"",L7/I7)</f>
        <v/>
      </c>
      <c r="N7" s="25">
        <f>IF(('설정'!$C$5+'설정'!$C$6+'설정'!$C$7+'설정'!$C$8+E7)=0,"",L7/('설정'!$C$5+'설정'!$C$6+'설정'!$C$7+'설정'!$C$8+E7))</f>
        <v/>
      </c>
      <c r="O7" s="26">
        <f>IFERROR(('설정'!$C$5+'설정'!$C$6+'설정'!$C$7+'설정'!$C$8+E7+H7)+'설정'!$C$9*('설정'!$C$5+'설정'!$C$6+'설정'!$C$7+E7)/(1-(F7+G7)*(1+'설정'!$C$9))/C7,"")</f>
        <v/>
      </c>
      <c r="P7" s="26">
        <f>IFERROR(('설정'!$C$5+'설정'!$C$6+'설정'!$C$7+'설정'!$C$8+E7+H7)+'설정'!$C$9*('설정'!$C$5+'설정'!$C$6+'설정'!$C$7+E7)/(1-(F7+G7)*(1+'설정'!$C$9)-'설정'!$C$10)/C7,"")</f>
        <v/>
      </c>
    </row>
    <row r="8">
      <c r="A8" s="21" t="inlineStr">
        <is>
          <t>말레이시아</t>
        </is>
      </c>
      <c r="B8" s="22" t="inlineStr">
        <is>
          <t>MYR</t>
        </is>
      </c>
      <c r="C8" s="23">
        <f>IFERROR(VLOOKUP(B8,'설정'!$A$15:$B$24,2,FALSE),0)</f>
        <v/>
      </c>
      <c r="D8" s="15" t="n">
        <v>100</v>
      </c>
      <c r="E8" s="9" t="n">
        <v>6000</v>
      </c>
      <c r="F8" s="10" t="n">
        <v>0.08</v>
      </c>
      <c r="G8" s="10" t="n">
        <v>0.02</v>
      </c>
      <c r="H8" s="9" t="n">
        <v>0</v>
      </c>
      <c r="I8" s="24">
        <f>D8*C8</f>
        <v/>
      </c>
      <c r="J8" s="24">
        <f>I8*(F8+G8)</f>
        <v/>
      </c>
      <c r="K8" s="24">
        <f>'설정'!$C$5+'설정'!$C$6+'설정'!$C$7+'설정'!$C$8+E8+J8+H8+'설정'!$C$9*('설정'!$C$5+'설정'!$C$6+'설정'!$C$7+E8+J8)</f>
        <v/>
      </c>
      <c r="L8" s="24">
        <f>I8-K8</f>
        <v/>
      </c>
      <c r="M8" s="25">
        <f>IF(I8=0,"",L8/I8)</f>
        <v/>
      </c>
      <c r="N8" s="25">
        <f>IF(('설정'!$C$5+'설정'!$C$6+'설정'!$C$7+'설정'!$C$8+E8)=0,"",L8/('설정'!$C$5+'설정'!$C$6+'설정'!$C$7+'설정'!$C$8+E8))</f>
        <v/>
      </c>
      <c r="O8" s="26">
        <f>IFERROR(('설정'!$C$5+'설정'!$C$6+'설정'!$C$7+'설정'!$C$8+E8+H8)+'설정'!$C$9*('설정'!$C$5+'설정'!$C$6+'설정'!$C$7+E8)/(1-(F8+G8)*(1+'설정'!$C$9))/C8,"")</f>
        <v/>
      </c>
      <c r="P8" s="26">
        <f>IFERROR(('설정'!$C$5+'설정'!$C$6+'설정'!$C$7+'설정'!$C$8+E8+H8)+'설정'!$C$9*('설정'!$C$5+'설정'!$C$6+'설정'!$C$7+E8)/(1-(F8+G8)*(1+'설정'!$C$9)-'설정'!$C$10)/C8,"")</f>
        <v/>
      </c>
    </row>
    <row r="9">
      <c r="A9" s="21" t="inlineStr">
        <is>
          <t>태국</t>
        </is>
      </c>
      <c r="B9" s="22" t="inlineStr">
        <is>
          <t>THB</t>
        </is>
      </c>
      <c r="C9" s="23">
        <f>IFERROR(VLOOKUP(B9,'설정'!$A$15:$B$24,2,FALSE),0)</f>
        <v/>
      </c>
      <c r="D9" s="15" t="n">
        <v>790</v>
      </c>
      <c r="E9" s="9" t="n">
        <v>6000</v>
      </c>
      <c r="F9" s="10" t="n">
        <v>0.09</v>
      </c>
      <c r="G9" s="10" t="n">
        <v>0.03</v>
      </c>
      <c r="H9" s="9" t="n">
        <v>0</v>
      </c>
      <c r="I9" s="24">
        <f>D9*C9</f>
        <v/>
      </c>
      <c r="J9" s="24">
        <f>I9*(F9+G9)</f>
        <v/>
      </c>
      <c r="K9" s="24">
        <f>'설정'!$C$5+'설정'!$C$6+'설정'!$C$7+'설정'!$C$8+E9+J9+H9+'설정'!$C$9*('설정'!$C$5+'설정'!$C$6+'설정'!$C$7+E9+J9)</f>
        <v/>
      </c>
      <c r="L9" s="24">
        <f>I9-K9</f>
        <v/>
      </c>
      <c r="M9" s="25">
        <f>IF(I9=0,"",L9/I9)</f>
        <v/>
      </c>
      <c r="N9" s="25">
        <f>IF(('설정'!$C$5+'설정'!$C$6+'설정'!$C$7+'설정'!$C$8+E9)=0,"",L9/('설정'!$C$5+'설정'!$C$6+'설정'!$C$7+'설정'!$C$8+E9))</f>
        <v/>
      </c>
      <c r="O9" s="26">
        <f>IFERROR(('설정'!$C$5+'설정'!$C$6+'설정'!$C$7+'설정'!$C$8+E9+H9)+'설정'!$C$9*('설정'!$C$5+'설정'!$C$6+'설정'!$C$7+E9)/(1-(F9+G9)*(1+'설정'!$C$9))/C9,"")</f>
        <v/>
      </c>
      <c r="P9" s="26">
        <f>IFERROR(('설정'!$C$5+'설정'!$C$6+'설정'!$C$7+'설정'!$C$8+E9+H9)+'설정'!$C$9*('설정'!$C$5+'설정'!$C$6+'설정'!$C$7+E9)/(1-(F9+G9)*(1+'설정'!$C$9)-'설정'!$C$10)/C9,"")</f>
        <v/>
      </c>
    </row>
    <row r="10">
      <c r="A10" s="21" t="inlineStr">
        <is>
          <t>필리핀</t>
        </is>
      </c>
      <c r="B10" s="22" t="inlineStr">
        <is>
          <t>PHP</t>
        </is>
      </c>
      <c r="C10" s="23">
        <f>IFERROR(VLOOKUP(B10,'설정'!$A$15:$B$24,2,FALSE),0)</f>
        <v/>
      </c>
      <c r="D10" s="15" t="n">
        <v>1380</v>
      </c>
      <c r="E10" s="9" t="n">
        <v>6000</v>
      </c>
      <c r="F10" s="10" t="n">
        <v>0.08</v>
      </c>
      <c r="G10" s="10" t="n">
        <v>0.02</v>
      </c>
      <c r="H10" s="9" t="n">
        <v>0</v>
      </c>
      <c r="I10" s="24">
        <f>D10*C10</f>
        <v/>
      </c>
      <c r="J10" s="24">
        <f>I10*(F10+G10)</f>
        <v/>
      </c>
      <c r="K10" s="24">
        <f>'설정'!$C$5+'설정'!$C$6+'설정'!$C$7+'설정'!$C$8+E10+J10+H10+'설정'!$C$9*('설정'!$C$5+'설정'!$C$6+'설정'!$C$7+E10+J10)</f>
        <v/>
      </c>
      <c r="L10" s="24">
        <f>I10-K10</f>
        <v/>
      </c>
      <c r="M10" s="25">
        <f>IF(I10=0,"",L10/I10)</f>
        <v/>
      </c>
      <c r="N10" s="25">
        <f>IF(('설정'!$C$5+'설정'!$C$6+'설정'!$C$7+'설정'!$C$8+E10)=0,"",L10/('설정'!$C$5+'설정'!$C$6+'설정'!$C$7+'설정'!$C$8+E10))</f>
        <v/>
      </c>
      <c r="O10" s="26">
        <f>IFERROR(('설정'!$C$5+'설정'!$C$6+'설정'!$C$7+'설정'!$C$8+E10+H10)+'설정'!$C$9*('설정'!$C$5+'설정'!$C$6+'설정'!$C$7+E10)/(1-(F10+G10)*(1+'설정'!$C$9))/C10,"")</f>
        <v/>
      </c>
      <c r="P10" s="26">
        <f>IFERROR(('설정'!$C$5+'설정'!$C$6+'설정'!$C$7+'설정'!$C$8+E10+H10)+'설정'!$C$9*('설정'!$C$5+'설정'!$C$6+'설정'!$C$7+E10)/(1-(F10+G10)*(1+'설정'!$C$9)-'설정'!$C$10)/C10,"")</f>
        <v/>
      </c>
    </row>
    <row r="11">
      <c r="A11" s="21" t="inlineStr">
        <is>
          <t>베트남</t>
        </is>
      </c>
      <c r="B11" s="22" t="inlineStr">
        <is>
          <t>VND</t>
        </is>
      </c>
      <c r="C11" s="27">
        <f>IFERROR(VLOOKUP(B11,'설정'!$A$15:$B$24,2,FALSE),0)</f>
        <v/>
      </c>
      <c r="D11" s="28" t="n">
        <v>600000</v>
      </c>
      <c r="E11" s="9" t="n">
        <v>6000</v>
      </c>
      <c r="F11" s="10" t="n">
        <v>0.1</v>
      </c>
      <c r="G11" s="10" t="n">
        <v>0.025</v>
      </c>
      <c r="H11" s="9" t="n">
        <v>0</v>
      </c>
      <c r="I11" s="24">
        <f>D11*C11</f>
        <v/>
      </c>
      <c r="J11" s="24">
        <f>I11*(F11+G11)</f>
        <v/>
      </c>
      <c r="K11" s="24">
        <f>'설정'!$C$5+'설정'!$C$6+'설정'!$C$7+'설정'!$C$8+E11+J11+H11+'설정'!$C$9*('설정'!$C$5+'설정'!$C$6+'설정'!$C$7+E11+J11)</f>
        <v/>
      </c>
      <c r="L11" s="24">
        <f>I11-K11</f>
        <v/>
      </c>
      <c r="M11" s="25">
        <f>IF(I11=0,"",L11/I11)</f>
        <v/>
      </c>
      <c r="N11" s="25">
        <f>IF(('설정'!$C$5+'설정'!$C$6+'설정'!$C$7+'설정'!$C$8+E11)=0,"",L11/('설정'!$C$5+'설정'!$C$6+'설정'!$C$7+'설정'!$C$8+E11))</f>
        <v/>
      </c>
      <c r="O11" s="26">
        <f>IFERROR(('설정'!$C$5+'설정'!$C$6+'설정'!$C$7+'설정'!$C$8+E11+H11)+'설정'!$C$9*('설정'!$C$5+'설정'!$C$6+'설정'!$C$7+E11)/(1-(F11+G11)*(1+'설정'!$C$9))/C11,"")</f>
        <v/>
      </c>
      <c r="P11" s="26">
        <f>IFERROR(('설정'!$C$5+'설정'!$C$6+'설정'!$C$7+'설정'!$C$8+E11+H11)+'설정'!$C$9*('설정'!$C$5+'설정'!$C$6+'설정'!$C$7+E11)/(1-(F11+G11)*(1+'설정'!$C$9)-'설정'!$C$10)/C11,"")</f>
        <v/>
      </c>
    </row>
    <row r="12">
      <c r="A12" s="21" t="inlineStr">
        <is>
          <t>대만</t>
        </is>
      </c>
      <c r="B12" s="22" t="inlineStr">
        <is>
          <t>TWD</t>
        </is>
      </c>
      <c r="C12" s="23">
        <f>IFERROR(VLOOKUP(B12,'설정'!$A$15:$B$24,2,FALSE),0)</f>
        <v/>
      </c>
      <c r="D12" s="15" t="n">
        <v>750</v>
      </c>
      <c r="E12" s="9" t="n">
        <v>6000</v>
      </c>
      <c r="F12" s="10" t="n">
        <v>0.08</v>
      </c>
      <c r="G12" s="10" t="n">
        <v>0.02</v>
      </c>
      <c r="H12" s="9" t="n">
        <v>0</v>
      </c>
      <c r="I12" s="24">
        <f>D12*C12</f>
        <v/>
      </c>
      <c r="J12" s="24">
        <f>I12*(F12+G12)</f>
        <v/>
      </c>
      <c r="K12" s="24">
        <f>'설정'!$C$5+'설정'!$C$6+'설정'!$C$7+'설정'!$C$8+E12+J12+H12+'설정'!$C$9*('설정'!$C$5+'설정'!$C$6+'설정'!$C$7+E12+J12)</f>
        <v/>
      </c>
      <c r="L12" s="24">
        <f>I12-K12</f>
        <v/>
      </c>
      <c r="M12" s="25">
        <f>IF(I12=0,"",L12/I12)</f>
        <v/>
      </c>
      <c r="N12" s="25">
        <f>IF(('설정'!$C$5+'설정'!$C$6+'설정'!$C$7+'설정'!$C$8+E12)=0,"",L12/('설정'!$C$5+'설정'!$C$6+'설정'!$C$7+'설정'!$C$8+E12))</f>
        <v/>
      </c>
      <c r="O12" s="26">
        <f>IFERROR(('설정'!$C$5+'설정'!$C$6+'설정'!$C$7+'설정'!$C$8+E12+H12)+'설정'!$C$9*('설정'!$C$5+'설정'!$C$6+'설정'!$C$7+E12)/(1-(F12+G12)*(1+'설정'!$C$9))/C12,"")</f>
        <v/>
      </c>
      <c r="P12" s="26">
        <f>IFERROR(('설정'!$C$5+'설정'!$C$6+'설정'!$C$7+'설정'!$C$8+E12+H12)+'설정'!$C$9*('설정'!$C$5+'설정'!$C$6+'설정'!$C$7+E12)/(1-(F12+G12)*(1+'설정'!$C$9)-'설정'!$C$10)/C12,"")</f>
        <v/>
      </c>
    </row>
    <row r="13">
      <c r="A13" s="21" t="inlineStr">
        <is>
          <t>브라질</t>
        </is>
      </c>
      <c r="B13" s="22" t="inlineStr">
        <is>
          <t>BRL</t>
        </is>
      </c>
      <c r="C13" s="23">
        <f>IFERROR(VLOOKUP(B13,'설정'!$A$15:$B$24,2,FALSE),0)</f>
        <v/>
      </c>
      <c r="D13" s="15" t="n">
        <v>132</v>
      </c>
      <c r="E13" s="9" t="n">
        <v>6000</v>
      </c>
      <c r="F13" s="10" t="n">
        <v>0.2</v>
      </c>
      <c r="G13" s="10" t="n">
        <v>0.02</v>
      </c>
      <c r="H13" s="9" t="n">
        <v>0</v>
      </c>
      <c r="I13" s="24">
        <f>D13*C13</f>
        <v/>
      </c>
      <c r="J13" s="24">
        <f>I13*(F13+G13)</f>
        <v/>
      </c>
      <c r="K13" s="24">
        <f>'설정'!$C$5+'설정'!$C$6+'설정'!$C$7+'설정'!$C$8+E13+J13+H13+'설정'!$C$9*('설정'!$C$5+'설정'!$C$6+'설정'!$C$7+E13+J13)</f>
        <v/>
      </c>
      <c r="L13" s="24">
        <f>I13-K13</f>
        <v/>
      </c>
      <c r="M13" s="25">
        <f>IF(I13=0,"",L13/I13)</f>
        <v/>
      </c>
      <c r="N13" s="25">
        <f>IF(('설정'!$C$5+'설정'!$C$6+'설정'!$C$7+'설정'!$C$8+E13)=0,"",L13/('설정'!$C$5+'설정'!$C$6+'설정'!$C$7+'설정'!$C$8+E13))</f>
        <v/>
      </c>
      <c r="O13" s="26">
        <f>IFERROR(('설정'!$C$5+'설정'!$C$6+'설정'!$C$7+'설정'!$C$8+E13+H13)+'설정'!$C$9*('설정'!$C$5+'설정'!$C$6+'설정'!$C$7+E13)/(1-(F13+G13)*(1+'설정'!$C$9))/C13,"")</f>
        <v/>
      </c>
      <c r="P13" s="26">
        <f>IFERROR(('설정'!$C$5+'설정'!$C$6+'설정'!$C$7+'설정'!$C$8+E13+H13)+'설정'!$C$9*('설정'!$C$5+'설정'!$C$6+'설정'!$C$7+E13)/(1-(F13+G13)*(1+'설정'!$C$9)-'설정'!$C$10)/C13,"")</f>
        <v/>
      </c>
    </row>
    <row r="14">
      <c r="A14" s="21" t="inlineStr">
        <is>
          <t>멕시코</t>
        </is>
      </c>
      <c r="B14" s="22" t="inlineStr">
        <is>
          <t>MXN</t>
        </is>
      </c>
      <c r="C14" s="23">
        <f>IFERROR(VLOOKUP(B14,'설정'!$A$15:$B$24,2,FALSE),0)</f>
        <v/>
      </c>
      <c r="D14" s="15" t="n">
        <v>460</v>
      </c>
      <c r="E14" s="9" t="n">
        <v>6000</v>
      </c>
      <c r="F14" s="10" t="n">
        <v>0.16</v>
      </c>
      <c r="G14" s="10" t="n">
        <v>0.02</v>
      </c>
      <c r="H14" s="9" t="n">
        <v>0</v>
      </c>
      <c r="I14" s="24">
        <f>D14*C14</f>
        <v/>
      </c>
      <c r="J14" s="24">
        <f>I14*(F14+G14)</f>
        <v/>
      </c>
      <c r="K14" s="24">
        <f>'설정'!$C$5+'설정'!$C$6+'설정'!$C$7+'설정'!$C$8+E14+J14+H14+'설정'!$C$9*('설정'!$C$5+'설정'!$C$6+'설정'!$C$7+E14+J14)</f>
        <v/>
      </c>
      <c r="L14" s="24">
        <f>I14-K14</f>
        <v/>
      </c>
      <c r="M14" s="25">
        <f>IF(I14=0,"",L14/I14)</f>
        <v/>
      </c>
      <c r="N14" s="25">
        <f>IF(('설정'!$C$5+'설정'!$C$6+'설정'!$C$7+'설정'!$C$8+E14)=0,"",L14/('설정'!$C$5+'설정'!$C$6+'설정'!$C$7+'설정'!$C$8+E14))</f>
        <v/>
      </c>
      <c r="O14" s="26">
        <f>IFERROR(('설정'!$C$5+'설정'!$C$6+'설정'!$C$7+'설정'!$C$8+E14+H14)+'설정'!$C$9*('설정'!$C$5+'설정'!$C$6+'설정'!$C$7+E14)/(1-(F14+G14)*(1+'설정'!$C$9))/C14,"")</f>
        <v/>
      </c>
      <c r="P14" s="26">
        <f>IFERROR(('설정'!$C$5+'설정'!$C$6+'설정'!$C$7+'설정'!$C$8+E14+H14)+'설정'!$C$9*('설정'!$C$5+'설정'!$C$6+'설정'!$C$7+E14)/(1-(F14+G14)*(1+'설정'!$C$9)-'설정'!$C$10)/C14,"")</f>
        <v/>
      </c>
    </row>
    <row r="16">
      <c r="A16" s="2" t="inlineStr">
        <is>
          <t>노랑 = 직접 입력    ·    파랑 = 설정 시트에서 가져옴(덮어써도 됨)    ·    회색 = 자동 계산</t>
        </is>
      </c>
    </row>
    <row r="17">
      <c r="A17" s="2" t="inlineStr">
        <is>
          <t>수수료율은 기본값입니다. 카테고리·프로모션·셀러 등급에 따라 달라지므로 쇼피 셀러센터의 실제 요율로 바꿔서 쓰세요.</t>
        </is>
      </c>
    </row>
  </sheetData>
  <mergeCells count="2">
    <mergeCell ref="A1:F1"/>
    <mergeCell ref="A3:D3"/>
  </mergeCells>
  <conditionalFormatting sqref="L7:M14">
    <cfRule type="cellIs" priority="1" operator="lessThan" dxfId="0">
      <formula>0</formula>
    </cfRule>
  </conditionalFormatting>
  <conditionalFormatting sqref="M7:M14">
    <cfRule type="cellIs" priority="2" operator="greaterThanOrEqual" dxfId="1">
      <formula>0.15</formula>
    </cfRule>
  </conditionalFormatting>
  <dataValidations count="1">
    <dataValidation sqref="B7:B14" showDropDown="0" showInputMessage="0" showErrorMessage="0" allowBlank="1" type="list">
      <formula1>='설정'!$A$15:$A$24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44" customWidth="1" min="4" max="4"/>
    <col width="2" customWidth="1" min="5" max="5"/>
    <col width="14" customWidth="1" min="6" max="6"/>
  </cols>
  <sheetData>
    <row r="1" ht="26" customHeight="1">
      <c r="A1" s="1" t="inlineStr">
        <is>
          <t>큐텐(Qoo10) 재팬 마진 계산</t>
        </is>
      </c>
      <c r="F1" s="2" t="inlineStr">
        <is>
          <t>순이익 = 판매가격 − 상품원가 − 국제배송비 − 포장비 − 큐텐수수료 − 기타비용</t>
        </is>
      </c>
    </row>
    <row r="3">
      <c r="A3" s="3" t="inlineStr">
        <is>
          <t>입력</t>
        </is>
      </c>
      <c r="B3" s="4" t="n"/>
      <c r="C3" s="5" t="n"/>
    </row>
    <row r="4">
      <c r="A4" s="6" t="inlineStr">
        <is>
          <t>환율 (1엔 = ? 원)</t>
        </is>
      </c>
      <c r="B4" s="7" t="n"/>
      <c r="C4" s="23">
        <f>'설정'!$B$23</f>
        <v/>
      </c>
      <c r="D4" s="2" t="inlineStr">
        <is>
          <t>설정 시트 JPY 행</t>
        </is>
      </c>
    </row>
    <row r="5">
      <c r="A5" s="6" t="inlineStr">
        <is>
          <t>판매가격 (엔)</t>
        </is>
      </c>
      <c r="B5" s="7" t="n"/>
      <c r="C5" s="28" t="n">
        <v>3980</v>
      </c>
      <c r="D5" s="2" t="inlineStr">
        <is>
          <t>큐텐 등록가</t>
        </is>
      </c>
    </row>
    <row r="6">
      <c r="A6" s="6" t="inlineStr">
        <is>
          <t>상품원가 (원)</t>
        </is>
      </c>
      <c r="B6" s="7" t="n"/>
      <c r="C6" s="29">
        <f>'설정'!$C$5</f>
        <v/>
      </c>
      <c r="D6" s="2" t="inlineStr">
        <is>
          <t>설정에서 가져옴</t>
        </is>
      </c>
    </row>
    <row r="7">
      <c r="A7" s="6" t="inlineStr">
        <is>
          <t>국제배송비 (원)</t>
        </is>
      </c>
      <c r="B7" s="7" t="n"/>
      <c r="C7" s="9" t="n">
        <v>6000</v>
      </c>
      <c r="D7" s="2" t="inlineStr">
        <is>
          <t>개당 일본 배송비</t>
        </is>
      </c>
    </row>
    <row r="8">
      <c r="A8" s="6" t="inlineStr">
        <is>
          <t>포장비 (원)</t>
        </is>
      </c>
      <c r="B8" s="7" t="n"/>
      <c r="C8" s="29">
        <f>'설정'!$C$7</f>
        <v/>
      </c>
      <c r="D8" s="2" t="inlineStr">
        <is>
          <t>설정에서 가져옴</t>
        </is>
      </c>
    </row>
    <row r="9">
      <c r="A9" s="6" t="inlineStr">
        <is>
          <t>큐텐 수수료율</t>
        </is>
      </c>
      <c r="B9" s="7" t="n"/>
      <c r="C9" s="10" t="n">
        <v>0.1</v>
      </c>
      <c r="D9" s="2" t="inlineStr">
        <is>
          <t>판매수수료 + 결제수수료</t>
        </is>
      </c>
    </row>
    <row r="10">
      <c r="A10" s="6" t="inlineStr">
        <is>
          <t>기타비용 (원)</t>
        </is>
      </c>
      <c r="B10" s="7" t="n"/>
      <c r="C10" s="9" t="n">
        <v>0</v>
      </c>
      <c r="D10" s="2" t="inlineStr">
        <is>
          <t>광고·쿠폰 부담금 등</t>
        </is>
      </c>
    </row>
    <row r="11">
      <c r="A11" s="6" t="inlineStr">
        <is>
          <t>목표 마진율</t>
        </is>
      </c>
      <c r="B11" s="7" t="n"/>
      <c r="C11" s="30">
        <f>'설정'!$C$10</f>
        <v/>
      </c>
      <c r="D11" s="2" t="inlineStr">
        <is>
          <t>설정에서 가져옴</t>
        </is>
      </c>
    </row>
    <row r="14">
      <c r="A14" s="3" t="inlineStr">
        <is>
          <t>결과</t>
        </is>
      </c>
      <c r="B14" s="4" t="n"/>
      <c r="C14" s="5" t="n"/>
    </row>
    <row r="15">
      <c r="A15" s="31" t="inlineStr">
        <is>
          <t>판매가격 (원)</t>
        </is>
      </c>
      <c r="B15" s="7" t="n"/>
      <c r="C15" s="32">
        <f>C5*C4</f>
        <v/>
      </c>
    </row>
    <row r="16">
      <c r="A16" s="31" t="inlineStr">
        <is>
          <t>큐텐 수수료 (원)</t>
        </is>
      </c>
      <c r="B16" s="7" t="n"/>
      <c r="C16" s="32">
        <f>C15*C9</f>
        <v/>
      </c>
    </row>
    <row r="17">
      <c r="A17" s="31" t="inlineStr">
        <is>
          <t>총비용 (원)</t>
        </is>
      </c>
      <c r="B17" s="7" t="n"/>
      <c r="C17" s="32">
        <f>C6+C7+C8+C16+C10</f>
        <v/>
      </c>
    </row>
    <row r="18">
      <c r="A18" s="31" t="inlineStr">
        <is>
          <t>순이익 (원)</t>
        </is>
      </c>
      <c r="B18" s="7" t="n"/>
      <c r="C18" s="32">
        <f>C15-C17</f>
        <v/>
      </c>
    </row>
    <row r="19">
      <c r="A19" s="31" t="inlineStr">
        <is>
          <t>마진율</t>
        </is>
      </c>
      <c r="B19" s="7" t="n"/>
      <c r="C19" s="33">
        <f>IF(C15=0,"",C18/C15)</f>
        <v/>
      </c>
    </row>
    <row r="20">
      <c r="A20" s="31" t="inlineStr">
        <is>
          <t>ROI</t>
        </is>
      </c>
      <c r="B20" s="7" t="n"/>
      <c r="C20" s="33">
        <f>IF((C6+C7+C8+C10)=0,"",C18/(C6+C7+C8+C10))</f>
        <v/>
      </c>
    </row>
    <row r="21">
      <c r="A21" s="31" t="inlineStr">
        <is>
          <t>순이익 (엔)</t>
        </is>
      </c>
      <c r="B21" s="7" t="n"/>
      <c r="C21" s="34">
        <f>IF(C4=0,"",C18/C4)</f>
        <v/>
      </c>
    </row>
    <row r="23">
      <c r="A23" s="3" t="inlineStr">
        <is>
          <t>판매가 역산</t>
        </is>
      </c>
      <c r="B23" s="4" t="n"/>
      <c r="C23" s="5" t="n"/>
    </row>
    <row r="24">
      <c r="A24" s="6" t="inlineStr">
        <is>
          <t>손익분기 판매가 (엔)</t>
        </is>
      </c>
      <c r="B24" s="7" t="n"/>
      <c r="C24" s="35">
        <f>IFERROR((C6+C7+C8+C10)/(1-C9)/C4,"")</f>
        <v/>
      </c>
      <c r="D24" s="2" t="inlineStr">
        <is>
          <t>이 값보다 낮게 팔면 적자</t>
        </is>
      </c>
    </row>
    <row r="25">
      <c r="A25" s="6" t="inlineStr">
        <is>
          <t>목표마진 달성 판매가 (엔)</t>
        </is>
      </c>
      <c r="B25" s="7" t="n"/>
      <c r="C25" s="35">
        <f>IFERROR((C6+C7+C8+C10)/(1-C9-C11)/C4,"")</f>
        <v/>
      </c>
      <c r="D25" s="2" t="inlineStr">
        <is>
          <t>설정의 목표 마진율을 맞추는 가격</t>
        </is>
      </c>
    </row>
    <row r="26">
      <c r="A26" s="6" t="inlineStr">
        <is>
          <t>손익분기 환율 (1엔=?원)</t>
        </is>
      </c>
      <c r="B26" s="7" t="n"/>
      <c r="C26" s="26">
        <f>IFERROR((C6+C7+C8+C10)/(1-C9)/C5,"")</f>
        <v/>
      </c>
      <c r="D26" s="2" t="inlineStr">
        <is>
          <t>환율이 이 아래로 떨어지면 지금 판매가로는 적자 — 엔저 방어선</t>
        </is>
      </c>
    </row>
    <row r="28">
      <c r="A28" s="2" t="inlineStr">
        <is>
          <t>노랑 = 직접 입력    ·    파랑 = 설정 시트에서 가져옴(덮어써도 됨)    ·    회색 = 자동 계산</t>
        </is>
      </c>
    </row>
    <row r="29">
      <c r="A29" s="2" t="inlineStr">
        <is>
          <t>수수료율 10%는 예시입니다. 큐텐 판매수수료는 카테고리마다 다르고 결제수수료가 따로 붙을 수 있으니 셀러오피스의 실제 요율을 넣어 주세요.</t>
        </is>
      </c>
    </row>
  </sheetData>
  <mergeCells count="22">
    <mergeCell ref="A24:B24"/>
    <mergeCell ref="A15:B15"/>
    <mergeCell ref="A11:B11"/>
    <mergeCell ref="A3:C3"/>
    <mergeCell ref="A6:B6"/>
    <mergeCell ref="A16:B16"/>
    <mergeCell ref="A7:B7"/>
    <mergeCell ref="A25:B25"/>
    <mergeCell ref="A23:C23"/>
    <mergeCell ref="A14:C14"/>
    <mergeCell ref="A18:B18"/>
    <mergeCell ref="A1:D1"/>
    <mergeCell ref="A26:B26"/>
    <mergeCell ref="A21:B21"/>
    <mergeCell ref="A5:B5"/>
    <mergeCell ref="A17:B17"/>
    <mergeCell ref="A8:B8"/>
    <mergeCell ref="A4:B4"/>
    <mergeCell ref="A20:B20"/>
    <mergeCell ref="A19:B19"/>
    <mergeCell ref="A10:B10"/>
    <mergeCell ref="A9:B9"/>
  </mergeCells>
  <conditionalFormatting sqref="C18:C19">
    <cfRule type="cellIs" priority="1" operator="lessThan" dxfId="0">
      <formula>0</formula>
    </cfRule>
  </conditionalFormatting>
  <conditionalFormatting sqref="C19">
    <cfRule type="cellIs" priority="2" operator="greaterThanOrEqual" dxfId="1">
      <formula>0.15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3" customWidth="1" min="4" max="4"/>
    <col width="10" customWidth="1" min="5" max="5"/>
    <col width="12" customWidth="1" min="6" max="6"/>
    <col width="12" customWidth="1" min="7" max="7"/>
    <col width="11" customWidth="1" min="8" max="8"/>
    <col width="10" customWidth="1" min="9" max="9"/>
    <col width="11" customWidth="1" min="10" max="10"/>
    <col width="14" customWidth="1" min="11" max="11"/>
    <col width="13" customWidth="1" min="12" max="12"/>
    <col width="13" customWidth="1" min="13" max="13"/>
    <col width="14" customWidth="1" min="14" max="14"/>
    <col width="9" customWidth="1" min="15" max="15"/>
    <col width="9" customWidth="1" min="16" max="16"/>
  </cols>
  <sheetData>
    <row r="1" ht="26" customHeight="1">
      <c r="A1" s="1" t="inlineStr">
        <is>
          <t>상품 일괄계산</t>
        </is>
      </c>
      <c r="F1" s="2" t="inlineStr">
        <is>
          <t>플랫폼과 통화를 섞어서 한 번에 비교할 수 있습니다. 환율은 통화만 고르면 [설정] 시트에서 자동으로 찾아옵니다.</t>
        </is>
      </c>
    </row>
    <row r="4" ht="34" customHeight="1">
      <c r="A4" s="11" t="inlineStr">
        <is>
          <t>상품명</t>
        </is>
      </c>
      <c r="B4" s="11" t="inlineStr">
        <is>
          <t>플랫폼</t>
        </is>
      </c>
      <c r="C4" s="11" t="inlineStr">
        <is>
          <t>통화</t>
        </is>
      </c>
      <c r="D4" s="11" t="inlineStr">
        <is>
          <t>판매가격
(현지통화)</t>
        </is>
      </c>
      <c r="E4" s="11" t="inlineStr">
        <is>
          <t>환율
(자동)</t>
        </is>
      </c>
      <c r="F4" s="11" t="inlineStr">
        <is>
          <t>상품원가
(원)</t>
        </is>
      </c>
      <c r="G4" s="11" t="inlineStr">
        <is>
          <t>국제배송비
(원)</t>
        </is>
      </c>
      <c r="H4" s="11" t="inlineStr">
        <is>
          <t>포장비
(원)</t>
        </is>
      </c>
      <c r="I4" s="11" t="inlineStr">
        <is>
          <t>수수료율</t>
        </is>
      </c>
      <c r="J4" s="11" t="inlineStr">
        <is>
          <t>기타비용
(원)</t>
        </is>
      </c>
      <c r="K4" s="11" t="inlineStr">
        <is>
          <t>판매가격
(원)</t>
        </is>
      </c>
      <c r="L4" s="11" t="inlineStr">
        <is>
          <t>수수료
(원)</t>
        </is>
      </c>
      <c r="M4" s="11" t="inlineStr">
        <is>
          <t>총비용
(원)</t>
        </is>
      </c>
      <c r="N4" s="11" t="inlineStr">
        <is>
          <t>순이익
(원)</t>
        </is>
      </c>
      <c r="O4" s="11" t="inlineStr">
        <is>
          <t>마진율</t>
        </is>
      </c>
      <c r="P4" s="11" t="inlineStr">
        <is>
          <t>ROI</t>
        </is>
      </c>
    </row>
    <row r="5">
      <c r="A5" s="8" t="inlineStr">
        <is>
          <t>샘플 A — 쇼피 싱가포르</t>
        </is>
      </c>
      <c r="B5" s="22" t="inlineStr">
        <is>
          <t>쇼피</t>
        </is>
      </c>
      <c r="C5" s="22" t="inlineStr">
        <is>
          <t>SGD</t>
        </is>
      </c>
      <c r="D5" s="15" t="n">
        <v>31</v>
      </c>
      <c r="E5" s="23">
        <f>IF(C5="","",IFERROR(VLOOKUP(C5,'설정'!$A$15:$B$24,2,FALSE),0))</f>
        <v/>
      </c>
      <c r="F5" s="9" t="n">
        <v>12000</v>
      </c>
      <c r="G5" s="9" t="n">
        <v>6000</v>
      </c>
      <c r="H5" s="9" t="n">
        <v>800</v>
      </c>
      <c r="I5" s="10" t="n">
        <v>0.08</v>
      </c>
      <c r="J5" s="9" t="n">
        <v>0</v>
      </c>
      <c r="K5" s="24">
        <f>IF(OR(A5="",D5=""),"",D5*E5)</f>
        <v/>
      </c>
      <c r="L5" s="24">
        <f>IF(OR(A5="",D5=""),"",K5*I5)</f>
        <v/>
      </c>
      <c r="M5" s="24">
        <f>IF(OR(A5="",D5=""),"",F5+G5+H5+L5+J5)</f>
        <v/>
      </c>
      <c r="N5" s="24">
        <f>IF(OR(A5="",D5=""),"",K5-M5)</f>
        <v/>
      </c>
      <c r="O5" s="25">
        <f>IF(OR(A5="",K5=0,K5=""),"",N5/K5)</f>
        <v/>
      </c>
      <c r="P5" s="25">
        <f>IF(OR(A5="",(F5+G5+H5+J5)=0),"",N5/(F5+G5+H5+J5))</f>
        <v/>
      </c>
    </row>
    <row r="6">
      <c r="A6" s="8" t="inlineStr">
        <is>
          <t>샘플 B — 큐텐 재팬</t>
        </is>
      </c>
      <c r="B6" s="22" t="inlineStr">
        <is>
          <t>큐텐</t>
        </is>
      </c>
      <c r="C6" s="22" t="inlineStr">
        <is>
          <t>JPY</t>
        </is>
      </c>
      <c r="D6" s="15" t="n">
        <v>3980</v>
      </c>
      <c r="E6" s="23">
        <f>IF(C6="","",IFERROR(VLOOKUP(C6,'설정'!$A$15:$B$24,2,FALSE),0))</f>
        <v/>
      </c>
      <c r="F6" s="9" t="n">
        <v>12000</v>
      </c>
      <c r="G6" s="9" t="n">
        <v>6000</v>
      </c>
      <c r="H6" s="9" t="n">
        <v>800</v>
      </c>
      <c r="I6" s="10" t="n">
        <v>0.1</v>
      </c>
      <c r="J6" s="9" t="n">
        <v>0</v>
      </c>
      <c r="K6" s="24">
        <f>IF(OR(A6="",D6=""),"",D6*E6)</f>
        <v/>
      </c>
      <c r="L6" s="24">
        <f>IF(OR(A6="",D6=""),"",K6*I6)</f>
        <v/>
      </c>
      <c r="M6" s="24">
        <f>IF(OR(A6="",D6=""),"",F6+G6+H6+L6+J6)</f>
        <v/>
      </c>
      <c r="N6" s="24">
        <f>IF(OR(A6="",D6=""),"",K6-M6)</f>
        <v/>
      </c>
      <c r="O6" s="25">
        <f>IF(OR(A6="",K6=0,K6=""),"",N6/K6)</f>
        <v/>
      </c>
      <c r="P6" s="25">
        <f>IF(OR(A6="",(F6+G6+H6+J6)=0),"",N6/(F6+G6+H6+J6))</f>
        <v/>
      </c>
    </row>
    <row r="7">
      <c r="A7" s="8" t="inlineStr">
        <is>
          <t>샘플 C — 쇼피 태국</t>
        </is>
      </c>
      <c r="B7" s="22" t="inlineStr">
        <is>
          <t>쇼피</t>
        </is>
      </c>
      <c r="C7" s="22" t="inlineStr">
        <is>
          <t>THB</t>
        </is>
      </c>
      <c r="D7" s="15" t="n">
        <v>790</v>
      </c>
      <c r="E7" s="23">
        <f>IF(C7="","",IFERROR(VLOOKUP(C7,'설정'!$A$15:$B$24,2,FALSE),0))</f>
        <v/>
      </c>
      <c r="F7" s="9" t="n">
        <v>7000</v>
      </c>
      <c r="G7" s="9" t="n">
        <v>4500</v>
      </c>
      <c r="H7" s="9" t="n">
        <v>500</v>
      </c>
      <c r="I7" s="10" t="n">
        <v>0.12</v>
      </c>
      <c r="J7" s="9" t="n">
        <v>0</v>
      </c>
      <c r="K7" s="24">
        <f>IF(OR(A7="",D7=""),"",D7*E7)</f>
        <v/>
      </c>
      <c r="L7" s="24">
        <f>IF(OR(A7="",D7=""),"",K7*I7)</f>
        <v/>
      </c>
      <c r="M7" s="24">
        <f>IF(OR(A7="",D7=""),"",F7+G7+H7+L7+J7)</f>
        <v/>
      </c>
      <c r="N7" s="24">
        <f>IF(OR(A7="",D7=""),"",K7-M7)</f>
        <v/>
      </c>
      <c r="O7" s="25">
        <f>IF(OR(A7="",K7=0,K7=""),"",N7/K7)</f>
        <v/>
      </c>
      <c r="P7" s="25">
        <f>IF(OR(A7="",(F7+G7+H7+J7)=0),"",N7/(F7+G7+H7+J7))</f>
        <v/>
      </c>
    </row>
    <row r="8">
      <c r="A8" s="8" t="n"/>
      <c r="B8" s="22" t="n"/>
      <c r="C8" s="22" t="n"/>
      <c r="D8" s="15" t="n"/>
      <c r="E8" s="23">
        <f>IF(C8="","",IFERROR(VLOOKUP(C8,'설정'!$A$15:$B$24,2,FALSE),0))</f>
        <v/>
      </c>
      <c r="F8" s="9">
        <f>'설정'!$C$5</f>
        <v/>
      </c>
      <c r="G8" s="9" t="n">
        <v>6000</v>
      </c>
      <c r="H8" s="9">
        <f>'설정'!$C$7</f>
        <v/>
      </c>
      <c r="I8" s="10" t="n">
        <v>0.1</v>
      </c>
      <c r="J8" s="9" t="n">
        <v>0</v>
      </c>
      <c r="K8" s="24">
        <f>IF(OR(A8="",D8=""),"",D8*E8)</f>
        <v/>
      </c>
      <c r="L8" s="24">
        <f>IF(OR(A8="",D8=""),"",K8*I8)</f>
        <v/>
      </c>
      <c r="M8" s="24">
        <f>IF(OR(A8="",D8=""),"",F8+G8+H8+L8+J8)</f>
        <v/>
      </c>
      <c r="N8" s="24">
        <f>IF(OR(A8="",D8=""),"",K8-M8)</f>
        <v/>
      </c>
      <c r="O8" s="25">
        <f>IF(OR(A8="",K8=0,K8=""),"",N8/K8)</f>
        <v/>
      </c>
      <c r="P8" s="25">
        <f>IF(OR(A8="",(F8+G8+H8+J8)=0),"",N8/(F8+G8+H8+J8))</f>
        <v/>
      </c>
    </row>
    <row r="9">
      <c r="A9" s="8" t="n"/>
      <c r="B9" s="22" t="n"/>
      <c r="C9" s="22" t="n"/>
      <c r="D9" s="15" t="n"/>
      <c r="E9" s="23">
        <f>IF(C9="","",IFERROR(VLOOKUP(C9,'설정'!$A$15:$B$24,2,FALSE),0))</f>
        <v/>
      </c>
      <c r="F9" s="9">
        <f>'설정'!$C$5</f>
        <v/>
      </c>
      <c r="G9" s="9" t="n">
        <v>6000</v>
      </c>
      <c r="H9" s="9">
        <f>'설정'!$C$7</f>
        <v/>
      </c>
      <c r="I9" s="10" t="n">
        <v>0.1</v>
      </c>
      <c r="J9" s="9" t="n">
        <v>0</v>
      </c>
      <c r="K9" s="24">
        <f>IF(OR(A9="",D9=""),"",D9*E9)</f>
        <v/>
      </c>
      <c r="L9" s="24">
        <f>IF(OR(A9="",D9=""),"",K9*I9)</f>
        <v/>
      </c>
      <c r="M9" s="24">
        <f>IF(OR(A9="",D9=""),"",F9+G9+H9+L9+J9)</f>
        <v/>
      </c>
      <c r="N9" s="24">
        <f>IF(OR(A9="",D9=""),"",K9-M9)</f>
        <v/>
      </c>
      <c r="O9" s="25">
        <f>IF(OR(A9="",K9=0,K9=""),"",N9/K9)</f>
        <v/>
      </c>
      <c r="P9" s="25">
        <f>IF(OR(A9="",(F9+G9+H9+J9)=0),"",N9/(F9+G9+H9+J9))</f>
        <v/>
      </c>
    </row>
    <row r="10">
      <c r="A10" s="8" t="n"/>
      <c r="B10" s="22" t="n"/>
      <c r="C10" s="22" t="n"/>
      <c r="D10" s="15" t="n"/>
      <c r="E10" s="23">
        <f>IF(C10="","",IFERROR(VLOOKUP(C10,'설정'!$A$15:$B$24,2,FALSE),0))</f>
        <v/>
      </c>
      <c r="F10" s="9">
        <f>'설정'!$C$5</f>
        <v/>
      </c>
      <c r="G10" s="9" t="n">
        <v>6000</v>
      </c>
      <c r="H10" s="9">
        <f>'설정'!$C$7</f>
        <v/>
      </c>
      <c r="I10" s="10" t="n">
        <v>0.1</v>
      </c>
      <c r="J10" s="9" t="n">
        <v>0</v>
      </c>
      <c r="K10" s="24">
        <f>IF(OR(A10="",D10=""),"",D10*E10)</f>
        <v/>
      </c>
      <c r="L10" s="24">
        <f>IF(OR(A10="",D10=""),"",K10*I10)</f>
        <v/>
      </c>
      <c r="M10" s="24">
        <f>IF(OR(A10="",D10=""),"",F10+G10+H10+L10+J10)</f>
        <v/>
      </c>
      <c r="N10" s="24">
        <f>IF(OR(A10="",D10=""),"",K10-M10)</f>
        <v/>
      </c>
      <c r="O10" s="25">
        <f>IF(OR(A10="",K10=0,K10=""),"",N10/K10)</f>
        <v/>
      </c>
      <c r="P10" s="25">
        <f>IF(OR(A10="",(F10+G10+H10+J10)=0),"",N10/(F10+G10+H10+J10))</f>
        <v/>
      </c>
    </row>
    <row r="11">
      <c r="A11" s="8" t="n"/>
      <c r="B11" s="22" t="n"/>
      <c r="C11" s="22" t="n"/>
      <c r="D11" s="15" t="n"/>
      <c r="E11" s="23">
        <f>IF(C11="","",IFERROR(VLOOKUP(C11,'설정'!$A$15:$B$24,2,FALSE),0))</f>
        <v/>
      </c>
      <c r="F11" s="9">
        <f>'설정'!$C$5</f>
        <v/>
      </c>
      <c r="G11" s="9" t="n">
        <v>6000</v>
      </c>
      <c r="H11" s="9">
        <f>'설정'!$C$7</f>
        <v/>
      </c>
      <c r="I11" s="10" t="n">
        <v>0.1</v>
      </c>
      <c r="J11" s="9" t="n">
        <v>0</v>
      </c>
      <c r="K11" s="24">
        <f>IF(OR(A11="",D11=""),"",D11*E11)</f>
        <v/>
      </c>
      <c r="L11" s="24">
        <f>IF(OR(A11="",D11=""),"",K11*I11)</f>
        <v/>
      </c>
      <c r="M11" s="24">
        <f>IF(OR(A11="",D11=""),"",F11+G11+H11+L11+J11)</f>
        <v/>
      </c>
      <c r="N11" s="24">
        <f>IF(OR(A11="",D11=""),"",K11-M11)</f>
        <v/>
      </c>
      <c r="O11" s="25">
        <f>IF(OR(A11="",K11=0,K11=""),"",N11/K11)</f>
        <v/>
      </c>
      <c r="P11" s="25">
        <f>IF(OR(A11="",(F11+G11+H11+J11)=0),"",N11/(F11+G11+H11+J11))</f>
        <v/>
      </c>
    </row>
    <row r="12">
      <c r="A12" s="8" t="n"/>
      <c r="B12" s="22" t="n"/>
      <c r="C12" s="22" t="n"/>
      <c r="D12" s="15" t="n"/>
      <c r="E12" s="23">
        <f>IF(C12="","",IFERROR(VLOOKUP(C12,'설정'!$A$15:$B$24,2,FALSE),0))</f>
        <v/>
      </c>
      <c r="F12" s="9">
        <f>'설정'!$C$5</f>
        <v/>
      </c>
      <c r="G12" s="9" t="n">
        <v>6000</v>
      </c>
      <c r="H12" s="9">
        <f>'설정'!$C$7</f>
        <v/>
      </c>
      <c r="I12" s="10" t="n">
        <v>0.1</v>
      </c>
      <c r="J12" s="9" t="n">
        <v>0</v>
      </c>
      <c r="K12" s="24">
        <f>IF(OR(A12="",D12=""),"",D12*E12)</f>
        <v/>
      </c>
      <c r="L12" s="24">
        <f>IF(OR(A12="",D12=""),"",K12*I12)</f>
        <v/>
      </c>
      <c r="M12" s="24">
        <f>IF(OR(A12="",D12=""),"",F12+G12+H12+L12+J12)</f>
        <v/>
      </c>
      <c r="N12" s="24">
        <f>IF(OR(A12="",D12=""),"",K12-M12)</f>
        <v/>
      </c>
      <c r="O12" s="25">
        <f>IF(OR(A12="",K12=0,K12=""),"",N12/K12)</f>
        <v/>
      </c>
      <c r="P12" s="25">
        <f>IF(OR(A12="",(F12+G12+H12+J12)=0),"",N12/(F12+G12+H12+J12))</f>
        <v/>
      </c>
    </row>
    <row r="13">
      <c r="A13" s="8" t="n"/>
      <c r="B13" s="22" t="n"/>
      <c r="C13" s="22" t="n"/>
      <c r="D13" s="15" t="n"/>
      <c r="E13" s="23">
        <f>IF(C13="","",IFERROR(VLOOKUP(C13,'설정'!$A$15:$B$24,2,FALSE),0))</f>
        <v/>
      </c>
      <c r="F13" s="9">
        <f>'설정'!$C$5</f>
        <v/>
      </c>
      <c r="G13" s="9" t="n">
        <v>6000</v>
      </c>
      <c r="H13" s="9">
        <f>'설정'!$C$7</f>
        <v/>
      </c>
      <c r="I13" s="10" t="n">
        <v>0.1</v>
      </c>
      <c r="J13" s="9" t="n">
        <v>0</v>
      </c>
      <c r="K13" s="24">
        <f>IF(OR(A13="",D13=""),"",D13*E13)</f>
        <v/>
      </c>
      <c r="L13" s="24">
        <f>IF(OR(A13="",D13=""),"",K13*I13)</f>
        <v/>
      </c>
      <c r="M13" s="24">
        <f>IF(OR(A13="",D13=""),"",F13+G13+H13+L13+J13)</f>
        <v/>
      </c>
      <c r="N13" s="24">
        <f>IF(OR(A13="",D13=""),"",K13-M13)</f>
        <v/>
      </c>
      <c r="O13" s="25">
        <f>IF(OR(A13="",K13=0,K13=""),"",N13/K13)</f>
        <v/>
      </c>
      <c r="P13" s="25">
        <f>IF(OR(A13="",(F13+G13+H13+J13)=0),"",N13/(F13+G13+H13+J13))</f>
        <v/>
      </c>
    </row>
    <row r="14">
      <c r="A14" s="8" t="n"/>
      <c r="B14" s="22" t="n"/>
      <c r="C14" s="22" t="n"/>
      <c r="D14" s="15" t="n"/>
      <c r="E14" s="23">
        <f>IF(C14="","",IFERROR(VLOOKUP(C14,'설정'!$A$15:$B$24,2,FALSE),0))</f>
        <v/>
      </c>
      <c r="F14" s="9">
        <f>'설정'!$C$5</f>
        <v/>
      </c>
      <c r="G14" s="9" t="n">
        <v>6000</v>
      </c>
      <c r="H14" s="9">
        <f>'설정'!$C$7</f>
        <v/>
      </c>
      <c r="I14" s="10" t="n">
        <v>0.1</v>
      </c>
      <c r="J14" s="9" t="n">
        <v>0</v>
      </c>
      <c r="K14" s="24">
        <f>IF(OR(A14="",D14=""),"",D14*E14)</f>
        <v/>
      </c>
      <c r="L14" s="24">
        <f>IF(OR(A14="",D14=""),"",K14*I14)</f>
        <v/>
      </c>
      <c r="M14" s="24">
        <f>IF(OR(A14="",D14=""),"",F14+G14+H14+L14+J14)</f>
        <v/>
      </c>
      <c r="N14" s="24">
        <f>IF(OR(A14="",D14=""),"",K14-M14)</f>
        <v/>
      </c>
      <c r="O14" s="25">
        <f>IF(OR(A14="",K14=0,K14=""),"",N14/K14)</f>
        <v/>
      </c>
      <c r="P14" s="25">
        <f>IF(OR(A14="",(F14+G14+H14+J14)=0),"",N14/(F14+G14+H14+J14))</f>
        <v/>
      </c>
    </row>
    <row r="15">
      <c r="A15" s="8" t="n"/>
      <c r="B15" s="22" t="n"/>
      <c r="C15" s="22" t="n"/>
      <c r="D15" s="15" t="n"/>
      <c r="E15" s="23">
        <f>IF(C15="","",IFERROR(VLOOKUP(C15,'설정'!$A$15:$B$24,2,FALSE),0))</f>
        <v/>
      </c>
      <c r="F15" s="9">
        <f>'설정'!$C$5</f>
        <v/>
      </c>
      <c r="G15" s="9" t="n">
        <v>6000</v>
      </c>
      <c r="H15" s="9">
        <f>'설정'!$C$7</f>
        <v/>
      </c>
      <c r="I15" s="10" t="n">
        <v>0.1</v>
      </c>
      <c r="J15" s="9" t="n">
        <v>0</v>
      </c>
      <c r="K15" s="24">
        <f>IF(OR(A15="",D15=""),"",D15*E15)</f>
        <v/>
      </c>
      <c r="L15" s="24">
        <f>IF(OR(A15="",D15=""),"",K15*I15)</f>
        <v/>
      </c>
      <c r="M15" s="24">
        <f>IF(OR(A15="",D15=""),"",F15+G15+H15+L15+J15)</f>
        <v/>
      </c>
      <c r="N15" s="24">
        <f>IF(OR(A15="",D15=""),"",K15-M15)</f>
        <v/>
      </c>
      <c r="O15" s="25">
        <f>IF(OR(A15="",K15=0,K15=""),"",N15/K15)</f>
        <v/>
      </c>
      <c r="P15" s="25">
        <f>IF(OR(A15="",(F15+G15+H15+J15)=0),"",N15/(F15+G15+H15+J15))</f>
        <v/>
      </c>
    </row>
    <row r="16">
      <c r="A16" s="8" t="n"/>
      <c r="B16" s="22" t="n"/>
      <c r="C16" s="22" t="n"/>
      <c r="D16" s="15" t="n"/>
      <c r="E16" s="23">
        <f>IF(C16="","",IFERROR(VLOOKUP(C16,'설정'!$A$15:$B$24,2,FALSE),0))</f>
        <v/>
      </c>
      <c r="F16" s="9">
        <f>'설정'!$C$5</f>
        <v/>
      </c>
      <c r="G16" s="9" t="n">
        <v>6000</v>
      </c>
      <c r="H16" s="9">
        <f>'설정'!$C$7</f>
        <v/>
      </c>
      <c r="I16" s="10" t="n">
        <v>0.1</v>
      </c>
      <c r="J16" s="9" t="n">
        <v>0</v>
      </c>
      <c r="K16" s="24">
        <f>IF(OR(A16="",D16=""),"",D16*E16)</f>
        <v/>
      </c>
      <c r="L16" s="24">
        <f>IF(OR(A16="",D16=""),"",K16*I16)</f>
        <v/>
      </c>
      <c r="M16" s="24">
        <f>IF(OR(A16="",D16=""),"",F16+G16+H16+L16+J16)</f>
        <v/>
      </c>
      <c r="N16" s="24">
        <f>IF(OR(A16="",D16=""),"",K16-M16)</f>
        <v/>
      </c>
      <c r="O16" s="25">
        <f>IF(OR(A16="",K16=0,K16=""),"",N16/K16)</f>
        <v/>
      </c>
      <c r="P16" s="25">
        <f>IF(OR(A16="",(F16+G16+H16+J16)=0),"",N16/(F16+G16+H16+J16))</f>
        <v/>
      </c>
    </row>
    <row r="17">
      <c r="A17" s="8" t="n"/>
      <c r="B17" s="22" t="n"/>
      <c r="C17" s="22" t="n"/>
      <c r="D17" s="15" t="n"/>
      <c r="E17" s="23">
        <f>IF(C17="","",IFERROR(VLOOKUP(C17,'설정'!$A$15:$B$24,2,FALSE),0))</f>
        <v/>
      </c>
      <c r="F17" s="9">
        <f>'설정'!$C$5</f>
        <v/>
      </c>
      <c r="G17" s="9" t="n">
        <v>6000</v>
      </c>
      <c r="H17" s="9">
        <f>'설정'!$C$7</f>
        <v/>
      </c>
      <c r="I17" s="10" t="n">
        <v>0.1</v>
      </c>
      <c r="J17" s="9" t="n">
        <v>0</v>
      </c>
      <c r="K17" s="24">
        <f>IF(OR(A17="",D17=""),"",D17*E17)</f>
        <v/>
      </c>
      <c r="L17" s="24">
        <f>IF(OR(A17="",D17=""),"",K17*I17)</f>
        <v/>
      </c>
      <c r="M17" s="24">
        <f>IF(OR(A17="",D17=""),"",F17+G17+H17+L17+J17)</f>
        <v/>
      </c>
      <c r="N17" s="24">
        <f>IF(OR(A17="",D17=""),"",K17-M17)</f>
        <v/>
      </c>
      <c r="O17" s="25">
        <f>IF(OR(A17="",K17=0,K17=""),"",N17/K17)</f>
        <v/>
      </c>
      <c r="P17" s="25">
        <f>IF(OR(A17="",(F17+G17+H17+J17)=0),"",N17/(F17+G17+H17+J17))</f>
        <v/>
      </c>
    </row>
    <row r="18">
      <c r="A18" s="8" t="n"/>
      <c r="B18" s="22" t="n"/>
      <c r="C18" s="22" t="n"/>
      <c r="D18" s="15" t="n"/>
      <c r="E18" s="23">
        <f>IF(C18="","",IFERROR(VLOOKUP(C18,'설정'!$A$15:$B$24,2,FALSE),0))</f>
        <v/>
      </c>
      <c r="F18" s="9">
        <f>'설정'!$C$5</f>
        <v/>
      </c>
      <c r="G18" s="9" t="n">
        <v>6000</v>
      </c>
      <c r="H18" s="9">
        <f>'설정'!$C$7</f>
        <v/>
      </c>
      <c r="I18" s="10" t="n">
        <v>0.1</v>
      </c>
      <c r="J18" s="9" t="n">
        <v>0</v>
      </c>
      <c r="K18" s="24">
        <f>IF(OR(A18="",D18=""),"",D18*E18)</f>
        <v/>
      </c>
      <c r="L18" s="24">
        <f>IF(OR(A18="",D18=""),"",K18*I18)</f>
        <v/>
      </c>
      <c r="M18" s="24">
        <f>IF(OR(A18="",D18=""),"",F18+G18+H18+L18+J18)</f>
        <v/>
      </c>
      <c r="N18" s="24">
        <f>IF(OR(A18="",D18=""),"",K18-M18)</f>
        <v/>
      </c>
      <c r="O18" s="25">
        <f>IF(OR(A18="",K18=0,K18=""),"",N18/K18)</f>
        <v/>
      </c>
      <c r="P18" s="25">
        <f>IF(OR(A18="",(F18+G18+H18+J18)=0),"",N18/(F18+G18+H18+J18))</f>
        <v/>
      </c>
    </row>
    <row r="19">
      <c r="A19" s="8" t="n"/>
      <c r="B19" s="22" t="n"/>
      <c r="C19" s="22" t="n"/>
      <c r="D19" s="15" t="n"/>
      <c r="E19" s="23">
        <f>IF(C19="","",IFERROR(VLOOKUP(C19,'설정'!$A$15:$B$24,2,FALSE),0))</f>
        <v/>
      </c>
      <c r="F19" s="9">
        <f>'설정'!$C$5</f>
        <v/>
      </c>
      <c r="G19" s="9" t="n">
        <v>6000</v>
      </c>
      <c r="H19" s="9">
        <f>'설정'!$C$7</f>
        <v/>
      </c>
      <c r="I19" s="10" t="n">
        <v>0.1</v>
      </c>
      <c r="J19" s="9" t="n">
        <v>0</v>
      </c>
      <c r="K19" s="24">
        <f>IF(OR(A19="",D19=""),"",D19*E19)</f>
        <v/>
      </c>
      <c r="L19" s="24">
        <f>IF(OR(A19="",D19=""),"",K19*I19)</f>
        <v/>
      </c>
      <c r="M19" s="24">
        <f>IF(OR(A19="",D19=""),"",F19+G19+H19+L19+J19)</f>
        <v/>
      </c>
      <c r="N19" s="24">
        <f>IF(OR(A19="",D19=""),"",K19-M19)</f>
        <v/>
      </c>
      <c r="O19" s="25">
        <f>IF(OR(A19="",K19=0,K19=""),"",N19/K19)</f>
        <v/>
      </c>
      <c r="P19" s="25">
        <f>IF(OR(A19="",(F19+G19+H19+J19)=0),"",N19/(F19+G19+H19+J19))</f>
        <v/>
      </c>
    </row>
    <row r="20">
      <c r="A20" s="8" t="n"/>
      <c r="B20" s="22" t="n"/>
      <c r="C20" s="22" t="n"/>
      <c r="D20" s="15" t="n"/>
      <c r="E20" s="23">
        <f>IF(C20="","",IFERROR(VLOOKUP(C20,'설정'!$A$15:$B$24,2,FALSE),0))</f>
        <v/>
      </c>
      <c r="F20" s="9">
        <f>'설정'!$C$5</f>
        <v/>
      </c>
      <c r="G20" s="9" t="n">
        <v>6000</v>
      </c>
      <c r="H20" s="9">
        <f>'설정'!$C$7</f>
        <v/>
      </c>
      <c r="I20" s="10" t="n">
        <v>0.1</v>
      </c>
      <c r="J20" s="9" t="n">
        <v>0</v>
      </c>
      <c r="K20" s="24">
        <f>IF(OR(A20="",D20=""),"",D20*E20)</f>
        <v/>
      </c>
      <c r="L20" s="24">
        <f>IF(OR(A20="",D20=""),"",K20*I20)</f>
        <v/>
      </c>
      <c r="M20" s="24">
        <f>IF(OR(A20="",D20=""),"",F20+G20+H20+L20+J20)</f>
        <v/>
      </c>
      <c r="N20" s="24">
        <f>IF(OR(A20="",D20=""),"",K20-M20)</f>
        <v/>
      </c>
      <c r="O20" s="25">
        <f>IF(OR(A20="",K20=0,K20=""),"",N20/K20)</f>
        <v/>
      </c>
      <c r="P20" s="25">
        <f>IF(OR(A20="",(F20+G20+H20+J20)=0),"",N20/(F20+G20+H20+J20))</f>
        <v/>
      </c>
    </row>
    <row r="21">
      <c r="A21" s="8" t="n"/>
      <c r="B21" s="22" t="n"/>
      <c r="C21" s="22" t="n"/>
      <c r="D21" s="15" t="n"/>
      <c r="E21" s="23">
        <f>IF(C21="","",IFERROR(VLOOKUP(C21,'설정'!$A$15:$B$24,2,FALSE),0))</f>
        <v/>
      </c>
      <c r="F21" s="9">
        <f>'설정'!$C$5</f>
        <v/>
      </c>
      <c r="G21" s="9" t="n">
        <v>6000</v>
      </c>
      <c r="H21" s="9">
        <f>'설정'!$C$7</f>
        <v/>
      </c>
      <c r="I21" s="10" t="n">
        <v>0.1</v>
      </c>
      <c r="J21" s="9" t="n">
        <v>0</v>
      </c>
      <c r="K21" s="24">
        <f>IF(OR(A21="",D21=""),"",D21*E21)</f>
        <v/>
      </c>
      <c r="L21" s="24">
        <f>IF(OR(A21="",D21=""),"",K21*I21)</f>
        <v/>
      </c>
      <c r="M21" s="24">
        <f>IF(OR(A21="",D21=""),"",F21+G21+H21+L21+J21)</f>
        <v/>
      </c>
      <c r="N21" s="24">
        <f>IF(OR(A21="",D21=""),"",K21-M21)</f>
        <v/>
      </c>
      <c r="O21" s="25">
        <f>IF(OR(A21="",K21=0,K21=""),"",N21/K21)</f>
        <v/>
      </c>
      <c r="P21" s="25">
        <f>IF(OR(A21="",(F21+G21+H21+J21)=0),"",N21/(F21+G21+H21+J21))</f>
        <v/>
      </c>
    </row>
    <row r="22">
      <c r="A22" s="8" t="n"/>
      <c r="B22" s="22" t="n"/>
      <c r="C22" s="22" t="n"/>
      <c r="D22" s="15" t="n"/>
      <c r="E22" s="23">
        <f>IF(C22="","",IFERROR(VLOOKUP(C22,'설정'!$A$15:$B$24,2,FALSE),0))</f>
        <v/>
      </c>
      <c r="F22" s="9">
        <f>'설정'!$C$5</f>
        <v/>
      </c>
      <c r="G22" s="9" t="n">
        <v>6000</v>
      </c>
      <c r="H22" s="9">
        <f>'설정'!$C$7</f>
        <v/>
      </c>
      <c r="I22" s="10" t="n">
        <v>0.1</v>
      </c>
      <c r="J22" s="9" t="n">
        <v>0</v>
      </c>
      <c r="K22" s="24">
        <f>IF(OR(A22="",D22=""),"",D22*E22)</f>
        <v/>
      </c>
      <c r="L22" s="24">
        <f>IF(OR(A22="",D22=""),"",K22*I22)</f>
        <v/>
      </c>
      <c r="M22" s="24">
        <f>IF(OR(A22="",D22=""),"",F22+G22+H22+L22+J22)</f>
        <v/>
      </c>
      <c r="N22" s="24">
        <f>IF(OR(A22="",D22=""),"",K22-M22)</f>
        <v/>
      </c>
      <c r="O22" s="25">
        <f>IF(OR(A22="",K22=0,K22=""),"",N22/K22)</f>
        <v/>
      </c>
      <c r="P22" s="25">
        <f>IF(OR(A22="",(F22+G22+H22+J22)=0),"",N22/(F22+G22+H22+J22))</f>
        <v/>
      </c>
    </row>
    <row r="23">
      <c r="A23" s="8" t="n"/>
      <c r="B23" s="22" t="n"/>
      <c r="C23" s="22" t="n"/>
      <c r="D23" s="15" t="n"/>
      <c r="E23" s="23">
        <f>IF(C23="","",IFERROR(VLOOKUP(C23,'설정'!$A$15:$B$24,2,FALSE),0))</f>
        <v/>
      </c>
      <c r="F23" s="9">
        <f>'설정'!$C$5</f>
        <v/>
      </c>
      <c r="G23" s="9" t="n">
        <v>6000</v>
      </c>
      <c r="H23" s="9">
        <f>'설정'!$C$7</f>
        <v/>
      </c>
      <c r="I23" s="10" t="n">
        <v>0.1</v>
      </c>
      <c r="J23" s="9" t="n">
        <v>0</v>
      </c>
      <c r="K23" s="24">
        <f>IF(OR(A23="",D23=""),"",D23*E23)</f>
        <v/>
      </c>
      <c r="L23" s="24">
        <f>IF(OR(A23="",D23=""),"",K23*I23)</f>
        <v/>
      </c>
      <c r="M23" s="24">
        <f>IF(OR(A23="",D23=""),"",F23+G23+H23+L23+J23)</f>
        <v/>
      </c>
      <c r="N23" s="24">
        <f>IF(OR(A23="",D23=""),"",K23-M23)</f>
        <v/>
      </c>
      <c r="O23" s="25">
        <f>IF(OR(A23="",K23=0,K23=""),"",N23/K23)</f>
        <v/>
      </c>
      <c r="P23" s="25">
        <f>IF(OR(A23="",(F23+G23+H23+J23)=0),"",N23/(F23+G23+H23+J23))</f>
        <v/>
      </c>
    </row>
    <row r="24">
      <c r="A24" s="8" t="n"/>
      <c r="B24" s="22" t="n"/>
      <c r="C24" s="22" t="n"/>
      <c r="D24" s="15" t="n"/>
      <c r="E24" s="23">
        <f>IF(C24="","",IFERROR(VLOOKUP(C24,'설정'!$A$15:$B$24,2,FALSE),0))</f>
        <v/>
      </c>
      <c r="F24" s="9">
        <f>'설정'!$C$5</f>
        <v/>
      </c>
      <c r="G24" s="9" t="n">
        <v>6000</v>
      </c>
      <c r="H24" s="9">
        <f>'설정'!$C$7</f>
        <v/>
      </c>
      <c r="I24" s="10" t="n">
        <v>0.1</v>
      </c>
      <c r="J24" s="9" t="n">
        <v>0</v>
      </c>
      <c r="K24" s="24">
        <f>IF(OR(A24="",D24=""),"",D24*E24)</f>
        <v/>
      </c>
      <c r="L24" s="24">
        <f>IF(OR(A24="",D24=""),"",K24*I24)</f>
        <v/>
      </c>
      <c r="M24" s="24">
        <f>IF(OR(A24="",D24=""),"",F24+G24+H24+L24+J24)</f>
        <v/>
      </c>
      <c r="N24" s="24">
        <f>IF(OR(A24="",D24=""),"",K24-M24)</f>
        <v/>
      </c>
      <c r="O24" s="25">
        <f>IF(OR(A24="",K24=0,K24=""),"",N24/K24)</f>
        <v/>
      </c>
      <c r="P24" s="25">
        <f>IF(OR(A24="",(F24+G24+H24+J24)=0),"",N24/(F24+G24+H24+J24))</f>
        <v/>
      </c>
    </row>
    <row r="25">
      <c r="A25" s="8" t="n"/>
      <c r="B25" s="22" t="n"/>
      <c r="C25" s="22" t="n"/>
      <c r="D25" s="15" t="n"/>
      <c r="E25" s="23">
        <f>IF(C25="","",IFERROR(VLOOKUP(C25,'설정'!$A$15:$B$24,2,FALSE),0))</f>
        <v/>
      </c>
      <c r="F25" s="9">
        <f>'설정'!$C$5</f>
        <v/>
      </c>
      <c r="G25" s="9" t="n">
        <v>6000</v>
      </c>
      <c r="H25" s="9">
        <f>'설정'!$C$7</f>
        <v/>
      </c>
      <c r="I25" s="10" t="n">
        <v>0.1</v>
      </c>
      <c r="J25" s="9" t="n">
        <v>0</v>
      </c>
      <c r="K25" s="24">
        <f>IF(OR(A25="",D25=""),"",D25*E25)</f>
        <v/>
      </c>
      <c r="L25" s="24">
        <f>IF(OR(A25="",D25=""),"",K25*I25)</f>
        <v/>
      </c>
      <c r="M25" s="24">
        <f>IF(OR(A25="",D25=""),"",F25+G25+H25+L25+J25)</f>
        <v/>
      </c>
      <c r="N25" s="24">
        <f>IF(OR(A25="",D25=""),"",K25-M25)</f>
        <v/>
      </c>
      <c r="O25" s="25">
        <f>IF(OR(A25="",K25=0,K25=""),"",N25/K25)</f>
        <v/>
      </c>
      <c r="P25" s="25">
        <f>IF(OR(A25="",(F25+G25+H25+J25)=0),"",N25/(F25+G25+H25+J25))</f>
        <v/>
      </c>
    </row>
    <row r="26">
      <c r="A26" s="8" t="n"/>
      <c r="B26" s="22" t="n"/>
      <c r="C26" s="22" t="n"/>
      <c r="D26" s="15" t="n"/>
      <c r="E26" s="23">
        <f>IF(C26="","",IFERROR(VLOOKUP(C26,'설정'!$A$15:$B$24,2,FALSE),0))</f>
        <v/>
      </c>
      <c r="F26" s="9">
        <f>'설정'!$C$5</f>
        <v/>
      </c>
      <c r="G26" s="9" t="n">
        <v>6000</v>
      </c>
      <c r="H26" s="9">
        <f>'설정'!$C$7</f>
        <v/>
      </c>
      <c r="I26" s="10" t="n">
        <v>0.1</v>
      </c>
      <c r="J26" s="9" t="n">
        <v>0</v>
      </c>
      <c r="K26" s="24">
        <f>IF(OR(A26="",D26=""),"",D26*E26)</f>
        <v/>
      </c>
      <c r="L26" s="24">
        <f>IF(OR(A26="",D26=""),"",K26*I26)</f>
        <v/>
      </c>
      <c r="M26" s="24">
        <f>IF(OR(A26="",D26=""),"",F26+G26+H26+L26+J26)</f>
        <v/>
      </c>
      <c r="N26" s="24">
        <f>IF(OR(A26="",D26=""),"",K26-M26)</f>
        <v/>
      </c>
      <c r="O26" s="25">
        <f>IF(OR(A26="",K26=0,K26=""),"",N26/K26)</f>
        <v/>
      </c>
      <c r="P26" s="25">
        <f>IF(OR(A26="",(F26+G26+H26+J26)=0),"",N26/(F26+G26+H26+J26))</f>
        <v/>
      </c>
    </row>
    <row r="27">
      <c r="A27" s="8" t="n"/>
      <c r="B27" s="22" t="n"/>
      <c r="C27" s="22" t="n"/>
      <c r="D27" s="15" t="n"/>
      <c r="E27" s="23">
        <f>IF(C27="","",IFERROR(VLOOKUP(C27,'설정'!$A$15:$B$24,2,FALSE),0))</f>
        <v/>
      </c>
      <c r="F27" s="9">
        <f>'설정'!$C$5</f>
        <v/>
      </c>
      <c r="G27" s="9" t="n">
        <v>6000</v>
      </c>
      <c r="H27" s="9">
        <f>'설정'!$C$7</f>
        <v/>
      </c>
      <c r="I27" s="10" t="n">
        <v>0.1</v>
      </c>
      <c r="J27" s="9" t="n">
        <v>0</v>
      </c>
      <c r="K27" s="24">
        <f>IF(OR(A27="",D27=""),"",D27*E27)</f>
        <v/>
      </c>
      <c r="L27" s="24">
        <f>IF(OR(A27="",D27=""),"",K27*I27)</f>
        <v/>
      </c>
      <c r="M27" s="24">
        <f>IF(OR(A27="",D27=""),"",F27+G27+H27+L27+J27)</f>
        <v/>
      </c>
      <c r="N27" s="24">
        <f>IF(OR(A27="",D27=""),"",K27-M27)</f>
        <v/>
      </c>
      <c r="O27" s="25">
        <f>IF(OR(A27="",K27=0,K27=""),"",N27/K27)</f>
        <v/>
      </c>
      <c r="P27" s="25">
        <f>IF(OR(A27="",(F27+G27+H27+J27)=0),"",N27/(F27+G27+H27+J27))</f>
        <v/>
      </c>
    </row>
    <row r="28">
      <c r="A28" s="8" t="n"/>
      <c r="B28" s="22" t="n"/>
      <c r="C28" s="22" t="n"/>
      <c r="D28" s="15" t="n"/>
      <c r="E28" s="23">
        <f>IF(C28="","",IFERROR(VLOOKUP(C28,'설정'!$A$15:$B$24,2,FALSE),0))</f>
        <v/>
      </c>
      <c r="F28" s="9">
        <f>'설정'!$C$5</f>
        <v/>
      </c>
      <c r="G28" s="9" t="n">
        <v>6000</v>
      </c>
      <c r="H28" s="9">
        <f>'설정'!$C$7</f>
        <v/>
      </c>
      <c r="I28" s="10" t="n">
        <v>0.1</v>
      </c>
      <c r="J28" s="9" t="n">
        <v>0</v>
      </c>
      <c r="K28" s="24">
        <f>IF(OR(A28="",D28=""),"",D28*E28)</f>
        <v/>
      </c>
      <c r="L28" s="24">
        <f>IF(OR(A28="",D28=""),"",K28*I28)</f>
        <v/>
      </c>
      <c r="M28" s="24">
        <f>IF(OR(A28="",D28=""),"",F28+G28+H28+L28+J28)</f>
        <v/>
      </c>
      <c r="N28" s="24">
        <f>IF(OR(A28="",D28=""),"",K28-M28)</f>
        <v/>
      </c>
      <c r="O28" s="25">
        <f>IF(OR(A28="",K28=0,K28=""),"",N28/K28)</f>
        <v/>
      </c>
      <c r="P28" s="25">
        <f>IF(OR(A28="",(F28+G28+H28+J28)=0),"",N28/(F28+G28+H28+J28))</f>
        <v/>
      </c>
    </row>
    <row r="29">
      <c r="A29" s="8" t="n"/>
      <c r="B29" s="22" t="n"/>
      <c r="C29" s="22" t="n"/>
      <c r="D29" s="15" t="n"/>
      <c r="E29" s="23">
        <f>IF(C29="","",IFERROR(VLOOKUP(C29,'설정'!$A$15:$B$24,2,FALSE),0))</f>
        <v/>
      </c>
      <c r="F29" s="9">
        <f>'설정'!$C$5</f>
        <v/>
      </c>
      <c r="G29" s="9" t="n">
        <v>6000</v>
      </c>
      <c r="H29" s="9">
        <f>'설정'!$C$7</f>
        <v/>
      </c>
      <c r="I29" s="10" t="n">
        <v>0.1</v>
      </c>
      <c r="J29" s="9" t="n">
        <v>0</v>
      </c>
      <c r="K29" s="24">
        <f>IF(OR(A29="",D29=""),"",D29*E29)</f>
        <v/>
      </c>
      <c r="L29" s="24">
        <f>IF(OR(A29="",D29=""),"",K29*I29)</f>
        <v/>
      </c>
      <c r="M29" s="24">
        <f>IF(OR(A29="",D29=""),"",F29+G29+H29+L29+J29)</f>
        <v/>
      </c>
      <c r="N29" s="24">
        <f>IF(OR(A29="",D29=""),"",K29-M29)</f>
        <v/>
      </c>
      <c r="O29" s="25">
        <f>IF(OR(A29="",K29=0,K29=""),"",N29/K29)</f>
        <v/>
      </c>
      <c r="P29" s="25">
        <f>IF(OR(A29="",(F29+G29+H29+J29)=0),"",N29/(F29+G29+H29+J29))</f>
        <v/>
      </c>
    </row>
    <row r="30">
      <c r="A30" s="8" t="n"/>
      <c r="B30" s="22" t="n"/>
      <c r="C30" s="22" t="n"/>
      <c r="D30" s="15" t="n"/>
      <c r="E30" s="23">
        <f>IF(C30="","",IFERROR(VLOOKUP(C30,'설정'!$A$15:$B$24,2,FALSE),0))</f>
        <v/>
      </c>
      <c r="F30" s="9">
        <f>'설정'!$C$5</f>
        <v/>
      </c>
      <c r="G30" s="9" t="n">
        <v>6000</v>
      </c>
      <c r="H30" s="9">
        <f>'설정'!$C$7</f>
        <v/>
      </c>
      <c r="I30" s="10" t="n">
        <v>0.1</v>
      </c>
      <c r="J30" s="9" t="n">
        <v>0</v>
      </c>
      <c r="K30" s="24">
        <f>IF(OR(A30="",D30=""),"",D30*E30)</f>
        <v/>
      </c>
      <c r="L30" s="24">
        <f>IF(OR(A30="",D30=""),"",K30*I30)</f>
        <v/>
      </c>
      <c r="M30" s="24">
        <f>IF(OR(A30="",D30=""),"",F30+G30+H30+L30+J30)</f>
        <v/>
      </c>
      <c r="N30" s="24">
        <f>IF(OR(A30="",D30=""),"",K30-M30)</f>
        <v/>
      </c>
      <c r="O30" s="25">
        <f>IF(OR(A30="",K30=0,K30=""),"",N30/K30)</f>
        <v/>
      </c>
      <c r="P30" s="25">
        <f>IF(OR(A30="",(F30+G30+H30+J30)=0),"",N30/(F30+G30+H30+J30))</f>
        <v/>
      </c>
    </row>
    <row r="31">
      <c r="A31" s="8" t="n"/>
      <c r="B31" s="22" t="n"/>
      <c r="C31" s="22" t="n"/>
      <c r="D31" s="15" t="n"/>
      <c r="E31" s="23">
        <f>IF(C31="","",IFERROR(VLOOKUP(C31,'설정'!$A$15:$B$24,2,FALSE),0))</f>
        <v/>
      </c>
      <c r="F31" s="9">
        <f>'설정'!$C$5</f>
        <v/>
      </c>
      <c r="G31" s="9" t="n">
        <v>6000</v>
      </c>
      <c r="H31" s="9">
        <f>'설정'!$C$7</f>
        <v/>
      </c>
      <c r="I31" s="10" t="n">
        <v>0.1</v>
      </c>
      <c r="J31" s="9" t="n">
        <v>0</v>
      </c>
      <c r="K31" s="24">
        <f>IF(OR(A31="",D31=""),"",D31*E31)</f>
        <v/>
      </c>
      <c r="L31" s="24">
        <f>IF(OR(A31="",D31=""),"",K31*I31)</f>
        <v/>
      </c>
      <c r="M31" s="24">
        <f>IF(OR(A31="",D31=""),"",F31+G31+H31+L31+J31)</f>
        <v/>
      </c>
      <c r="N31" s="24">
        <f>IF(OR(A31="",D31=""),"",K31-M31)</f>
        <v/>
      </c>
      <c r="O31" s="25">
        <f>IF(OR(A31="",K31=0,K31=""),"",N31/K31)</f>
        <v/>
      </c>
      <c r="P31" s="25">
        <f>IF(OR(A31="",(F31+G31+H31+J31)=0),"",N31/(F31+G31+H31+J31))</f>
        <v/>
      </c>
    </row>
    <row r="32">
      <c r="A32" s="8" t="n"/>
      <c r="B32" s="22" t="n"/>
      <c r="C32" s="22" t="n"/>
      <c r="D32" s="15" t="n"/>
      <c r="E32" s="23">
        <f>IF(C32="","",IFERROR(VLOOKUP(C32,'설정'!$A$15:$B$24,2,FALSE),0))</f>
        <v/>
      </c>
      <c r="F32" s="9">
        <f>'설정'!$C$5</f>
        <v/>
      </c>
      <c r="G32" s="9" t="n">
        <v>6000</v>
      </c>
      <c r="H32" s="9">
        <f>'설정'!$C$7</f>
        <v/>
      </c>
      <c r="I32" s="10" t="n">
        <v>0.1</v>
      </c>
      <c r="J32" s="9" t="n">
        <v>0</v>
      </c>
      <c r="K32" s="24">
        <f>IF(OR(A32="",D32=""),"",D32*E32)</f>
        <v/>
      </c>
      <c r="L32" s="24">
        <f>IF(OR(A32="",D32=""),"",K32*I32)</f>
        <v/>
      </c>
      <c r="M32" s="24">
        <f>IF(OR(A32="",D32=""),"",F32+G32+H32+L32+J32)</f>
        <v/>
      </c>
      <c r="N32" s="24">
        <f>IF(OR(A32="",D32=""),"",K32-M32)</f>
        <v/>
      </c>
      <c r="O32" s="25">
        <f>IF(OR(A32="",K32=0,K32=""),"",N32/K32)</f>
        <v/>
      </c>
      <c r="P32" s="25">
        <f>IF(OR(A32="",(F32+G32+H32+J32)=0),"",N32/(F32+G32+H32+J32))</f>
        <v/>
      </c>
    </row>
    <row r="33">
      <c r="A33" s="8" t="n"/>
      <c r="B33" s="22" t="n"/>
      <c r="C33" s="22" t="n"/>
      <c r="D33" s="15" t="n"/>
      <c r="E33" s="23">
        <f>IF(C33="","",IFERROR(VLOOKUP(C33,'설정'!$A$15:$B$24,2,FALSE),0))</f>
        <v/>
      </c>
      <c r="F33" s="9">
        <f>'설정'!$C$5</f>
        <v/>
      </c>
      <c r="G33" s="9" t="n">
        <v>6000</v>
      </c>
      <c r="H33" s="9">
        <f>'설정'!$C$7</f>
        <v/>
      </c>
      <c r="I33" s="10" t="n">
        <v>0.1</v>
      </c>
      <c r="J33" s="9" t="n">
        <v>0</v>
      </c>
      <c r="K33" s="24">
        <f>IF(OR(A33="",D33=""),"",D33*E33)</f>
        <v/>
      </c>
      <c r="L33" s="24">
        <f>IF(OR(A33="",D33=""),"",K33*I33)</f>
        <v/>
      </c>
      <c r="M33" s="24">
        <f>IF(OR(A33="",D33=""),"",F33+G33+H33+L33+J33)</f>
        <v/>
      </c>
      <c r="N33" s="24">
        <f>IF(OR(A33="",D33=""),"",K33-M33)</f>
        <v/>
      </c>
      <c r="O33" s="25">
        <f>IF(OR(A33="",K33=0,K33=""),"",N33/K33)</f>
        <v/>
      </c>
      <c r="P33" s="25">
        <f>IF(OR(A33="",(F33+G33+H33+J33)=0),"",N33/(F33+G33+H33+J33))</f>
        <v/>
      </c>
    </row>
    <row r="34">
      <c r="A34" s="8" t="n"/>
      <c r="B34" s="22" t="n"/>
      <c r="C34" s="22" t="n"/>
      <c r="D34" s="15" t="n"/>
      <c r="E34" s="23">
        <f>IF(C34="","",IFERROR(VLOOKUP(C34,'설정'!$A$15:$B$24,2,FALSE),0))</f>
        <v/>
      </c>
      <c r="F34" s="9">
        <f>'설정'!$C$5</f>
        <v/>
      </c>
      <c r="G34" s="9" t="n">
        <v>6000</v>
      </c>
      <c r="H34" s="9">
        <f>'설정'!$C$7</f>
        <v/>
      </c>
      <c r="I34" s="10" t="n">
        <v>0.1</v>
      </c>
      <c r="J34" s="9" t="n">
        <v>0</v>
      </c>
      <c r="K34" s="24">
        <f>IF(OR(A34="",D34=""),"",D34*E34)</f>
        <v/>
      </c>
      <c r="L34" s="24">
        <f>IF(OR(A34="",D34=""),"",K34*I34)</f>
        <v/>
      </c>
      <c r="M34" s="24">
        <f>IF(OR(A34="",D34=""),"",F34+G34+H34+L34+J34)</f>
        <v/>
      </c>
      <c r="N34" s="24">
        <f>IF(OR(A34="",D34=""),"",K34-M34)</f>
        <v/>
      </c>
      <c r="O34" s="25">
        <f>IF(OR(A34="",K34=0,K34=""),"",N34/K34)</f>
        <v/>
      </c>
      <c r="P34" s="25">
        <f>IF(OR(A34="",(F34+G34+H34+J34)=0),"",N34/(F34+G34+H34+J34))</f>
        <v/>
      </c>
    </row>
    <row r="35">
      <c r="A35" s="31" t="inlineStr">
        <is>
          <t>합계</t>
        </is>
      </c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2">
        <f>SUM(K5:K34)</f>
        <v/>
      </c>
      <c r="L35" s="32">
        <f>SUM(L5:L34)</f>
        <v/>
      </c>
      <c r="M35" s="32">
        <f>SUM(M5:M34)</f>
        <v/>
      </c>
      <c r="N35" s="32">
        <f>SUM(N5:N34)</f>
        <v/>
      </c>
      <c r="O35" s="33">
        <f>IF(K35=0,"",N35/K35)</f>
        <v/>
      </c>
      <c r="P35" s="36" t="n"/>
    </row>
    <row r="37">
      <c r="A37" s="2" t="inlineStr">
        <is>
          <t>노랑 = 직접 입력    ·    파랑 = 설정 시트에서 가져옴(덮어써도 됨)    ·    회색 = 자동 계산</t>
        </is>
      </c>
    </row>
  </sheetData>
  <mergeCells count="1">
    <mergeCell ref="A1:D1"/>
  </mergeCells>
  <conditionalFormatting sqref="N5:O35">
    <cfRule type="cellIs" priority="1" operator="lessThan" dxfId="0">
      <formula>0</formula>
    </cfRule>
  </conditionalFormatting>
  <conditionalFormatting sqref="O5:O34">
    <cfRule type="cellIs" priority="2" operator="greaterThanOrEqual" dxfId="1">
      <formula>0.15</formula>
    </cfRule>
  </conditionalFormatting>
  <dataValidations count="2">
    <dataValidation sqref="C5:C34" showDropDown="0" showInputMessage="0" showErrorMessage="0" allowBlank="1" type="list">
      <formula1>='설정'!$A$15:$A$24</formula1>
    </dataValidation>
    <dataValidation sqref="B5:B34" showDropDown="0" showInputMessage="0" showErrorMessage="0" allowBlank="1" type="list">
      <formula1>"쇼피,큐텐,라자다,이베이,아마존,틱톡샵,라쿠텐,기타"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요약</t>
        </is>
      </c>
      <c r="E1" s="2" t="inlineStr">
        <is>
          <t>다른 시트의 결과를 모아 보여줍니다. 여기서 고칠 값은 없습니다.</t>
        </is>
      </c>
    </row>
    <row r="3">
      <c r="A3" s="3" t="inlineStr">
        <is>
          <t>쇼피 — 8개국 중 최적</t>
        </is>
      </c>
      <c r="B3" s="4" t="n"/>
      <c r="C3" s="5" t="n"/>
    </row>
    <row r="4">
      <c r="A4" s="6" t="inlineStr">
        <is>
          <t>가장 남는 국가</t>
        </is>
      </c>
      <c r="B4" s="7" t="n"/>
      <c r="C4" s="37">
        <f>IFERROR(INDEX('쇼피 국가별'!$A$7:$A$14,MATCH(MAX('쇼피 국가별'!$L$7:$L$14),'쇼피 국가별'!$L$7:$L$14,0)),"")</f>
        <v/>
      </c>
      <c r="E4" s="13" t="inlineStr">
        <is>
          <t>읽는 법
· 마진율이 0 미만이면 빨강, 15% 이상이면 초록으로 표시됩니다.
· '더 남는 쪽'은 개당 순이익만 비교한 결과입니다. 실제 선택은
  시장 규모, 경쟁 강도, 정산 주기, 반품률까지 함께 봐야 합니다.
· 값을 바꾸려면 [설정]·[쇼피 국가별]·[큐텐 재팬] 시트에서 고치세요.</t>
        </is>
      </c>
    </row>
    <row r="5">
      <c r="A5" s="6" t="inlineStr">
        <is>
          <t>순이익</t>
        </is>
      </c>
      <c r="B5" s="7" t="n"/>
      <c r="C5" s="38">
        <f>MAX('쇼피 국가별'!$L$7:$L$14)</f>
        <v/>
      </c>
    </row>
    <row r="6">
      <c r="A6" s="6" t="inlineStr">
        <is>
          <t>마진율</t>
        </is>
      </c>
      <c r="B6" s="7" t="n"/>
      <c r="C6" s="33">
        <f>IFERROR(INDEX('쇼피 국가별'!$M$7:$M$14,MATCH(MAX('쇼피 국가별'!$L$7:$L$14),'쇼피 국가별'!$L$7:$L$14,0)),"")</f>
        <v/>
      </c>
    </row>
    <row r="7">
      <c r="A7" s="6" t="inlineStr">
        <is>
          <t>적자 국가 수</t>
        </is>
      </c>
      <c r="B7" s="7" t="n"/>
      <c r="C7" s="39">
        <f>COUNTIF('쇼피 국가별'!$L$7:$L$14,"&lt;0")&amp;"개국"</f>
        <v/>
      </c>
    </row>
    <row r="8"/>
    <row r="9">
      <c r="A9" s="3" t="inlineStr">
        <is>
          <t>큐텐 재팬</t>
        </is>
      </c>
      <c r="B9" s="4" t="n"/>
      <c r="C9" s="5" t="n"/>
    </row>
    <row r="10">
      <c r="A10" s="6" t="inlineStr">
        <is>
          <t>판매가격 (엔)</t>
        </is>
      </c>
      <c r="B10" s="7" t="n"/>
      <c r="C10" s="34">
        <f>'큐텐 재팬'!$C$5</f>
        <v/>
      </c>
    </row>
    <row r="11">
      <c r="A11" s="6" t="inlineStr">
        <is>
          <t>순이익</t>
        </is>
      </c>
      <c r="B11" s="7" t="n"/>
      <c r="C11" s="38">
        <f>'큐텐 재팬'!$C$18</f>
        <v/>
      </c>
    </row>
    <row r="12">
      <c r="A12" s="6" t="inlineStr">
        <is>
          <t>마진율</t>
        </is>
      </c>
      <c r="B12" s="7" t="n"/>
      <c r="C12" s="33">
        <f>'큐텐 재팬'!$C$19</f>
        <v/>
      </c>
    </row>
    <row r="13">
      <c r="A13" s="6" t="inlineStr">
        <is>
          <t>손익분기 환율</t>
        </is>
      </c>
      <c r="B13" s="7" t="n"/>
      <c r="C13" s="40">
        <f>'큐텐 재팬'!$C$26</f>
        <v/>
      </c>
    </row>
    <row r="15">
      <c r="A15" s="3" t="inlineStr">
        <is>
          <t>어디에 파는 게 나은가</t>
        </is>
      </c>
      <c r="B15" s="4" t="n"/>
      <c r="C15" s="5" t="n"/>
    </row>
    <row r="16">
      <c r="A16" s="6" t="inlineStr">
        <is>
          <t>더 남는 쪽</t>
        </is>
      </c>
      <c r="B16" s="7" t="n"/>
      <c r="C16" s="37">
        <f>IF(MAX('쇼피 국가별'!$L$7:$L$14)&gt;'큐텐 재팬'!$C$18,"쇼피 "&amp;IFERROR(INDEX('쇼피 국가별'!$A$7:$A$14,MATCH(MAX('쇼피 국가별'!$L$7:$L$14),'쇼피 국가별'!$L$7:$L$14,0)),""),"큐텐 재팬")</f>
        <v/>
      </c>
    </row>
    <row r="17">
      <c r="A17" s="6" t="inlineStr">
        <is>
          <t>순이익 차이</t>
        </is>
      </c>
      <c r="B17" s="7" t="n"/>
      <c r="C17" s="32">
        <f>ABS(MAX('쇼피 국가별'!$L$7:$L$14)-'큐텐 재팬'!$C$18)</f>
        <v/>
      </c>
    </row>
  </sheetData>
  <mergeCells count="15">
    <mergeCell ref="A4:B4"/>
    <mergeCell ref="E4:J13"/>
    <mergeCell ref="A16:B16"/>
    <mergeCell ref="A7:B7"/>
    <mergeCell ref="A1:C1"/>
    <mergeCell ref="A11:B11"/>
    <mergeCell ref="A10:B10"/>
    <mergeCell ref="A5:B5"/>
    <mergeCell ref="A9:C9"/>
    <mergeCell ref="A13:B13"/>
    <mergeCell ref="A3:C3"/>
    <mergeCell ref="A17:B17"/>
    <mergeCell ref="A15:C15"/>
    <mergeCell ref="A6:B6"/>
    <mergeCell ref="A12:B12"/>
  </mergeCells>
  <conditionalFormatting sqref="C5:C6">
    <cfRule type="cellIs" priority="1" operator="lessThan" dxfId="0">
      <formula>0</formula>
    </cfRule>
  </conditionalFormatting>
  <conditionalFormatting sqref="C11:C12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28" customHeight="1">
      <c r="A1" s="1" t="inlineStr">
        <is>
          <t>유어팀 마진 계산기 — 사용법 · 계산식</t>
        </is>
      </c>
    </row>
    <row r="3">
      <c r="A3" s="11" t="inlineStr">
        <is>
          <t>항목</t>
        </is>
      </c>
      <c r="B3" s="11" t="inlineStr">
        <is>
          <t>설명</t>
        </is>
      </c>
    </row>
    <row r="4" ht="46" customHeight="1">
      <c r="A4" s="31" t="inlineStr">
        <is>
          <t>시작하기</t>
        </is>
      </c>
      <c r="B4" s="41" t="inlineStr">
        <is>
          <t>[설정] 시트에서 상품원가·배송비·포장비·광고비·반품률·목표마진율과 환율을 먼저 채우세요. 이 값들이 쇼피·큐텐·일괄계산 시트에 모두 적용됩니다.</t>
        </is>
      </c>
    </row>
    <row r="5" ht="46" customHeight="1">
      <c r="A5" s="31" t="inlineStr">
        <is>
          <t>칸 색깔</t>
        </is>
      </c>
      <c r="B5" s="41" t="inlineStr">
        <is>
          <t>노랑 = 직접 입력 / 파랑 = 설정 시트에서 가져온 값(그 시트만 다르게 하려면 그냥 덮어쓰면 됩니다) / 회색 = 자동 계산이니 건드리지 마세요.</t>
        </is>
      </c>
    </row>
    <row r="6" ht="62" customHeight="1">
      <c r="A6" s="31" t="inlineStr">
        <is>
          <t>[설정] 환율표</t>
        </is>
      </c>
      <c r="B6" s="41" t="inlineStr">
        <is>
          <t>통화별 '1통화 = ?원'을 적는 곳입니다. 쇼피 시트의 환율 칸은 통화 코드로 이 표를 찾아오고, 큐텐 시트는 JPY 행을 봅니다. 환율은 매일 바뀌니 margin.ur-team.com 사이드바의 실시간 값을 옮겨 적으면 정확합니다.</t>
        </is>
      </c>
    </row>
    <row r="7" ht="62" customHeight="1">
      <c r="A7" s="31" t="inlineStr">
        <is>
          <t>[쇼피 국가별]</t>
        </is>
      </c>
      <c r="B7" s="41" t="inlineStr">
        <is>
          <t>싱가포르·말레이시아·태국·필리핀·베트남·대만·브라질·멕시코 8개국을 한 표에서 비교합니다. 국가마다 판매가·국제배송비·수수료율을 따로 넣으세요. 통화 칸은 목록에서 고를 수 있고, 환율은 자동으로 따라옵니다.</t>
        </is>
      </c>
    </row>
    <row r="8" ht="46" customHeight="1">
      <c r="A8" s="31" t="inlineStr">
        <is>
          <t>[큐텐 재팬]</t>
        </is>
      </c>
      <c r="B8" s="41" t="inlineStr">
        <is>
          <t>엔화 판매가 기준입니다. 손익분기 환율은 지금 판매가로 버틸 수 있는 최저 환율이라, 엔저가 진행될 때 판매가를 올릴 시점을 잡는 기준이 됩니다.</t>
        </is>
      </c>
    </row>
    <row r="9" ht="62" customHeight="1">
      <c r="A9" s="31" t="inlineStr">
        <is>
          <t>[상품 일괄계산]</t>
        </is>
      </c>
      <c r="B9" s="41" t="inlineStr">
        <is>
          <t>플랫폼과 통화를 섞어 상품 30개까지 한 번에 계산합니다. 통화만 고르면 환율은 자동입니다. 맨 아래에 합계와 전체 마진율이 나옵니다. 이 시트는 상품마다 조건이 다른 경우를 위해 비용을 행별로 직접 받으며, 국내배송비·광고비·반품손실 칸은 따로 두지 않았으니 '기타비용'에 합산해서 넣으세요. (그래서 같은 상품이라도 쇼피 시트보다 마진이 높게 나올 수 있습니다)</t>
        </is>
      </c>
    </row>
    <row r="10" ht="30" customHeight="1">
      <c r="A10" s="31" t="inlineStr">
        <is>
          <t>[요약]</t>
        </is>
      </c>
      <c r="B10" s="41" t="inlineStr">
        <is>
          <t>쇼피 8개국 중 가장 남는 곳과 큐텐 재팬을 나란히 비교합니다.</t>
        </is>
      </c>
    </row>
    <row r="11" ht="30" customHeight="1">
      <c r="A11" s="31" t="inlineStr">
        <is>
          <t>계산식 — 판매가(원)</t>
        </is>
      </c>
      <c r="B11" s="41" t="inlineStr">
        <is>
          <t>현지통화 판매가 × 환율</t>
        </is>
      </c>
    </row>
    <row r="12" ht="30" customHeight="1">
      <c r="A12" s="31" t="inlineStr">
        <is>
          <t>계산식 — 수수료</t>
        </is>
      </c>
      <c r="B12" s="41" t="inlineStr">
        <is>
          <t>판매가(원) × 수수료율 (판매수수료 + 결제수수료)</t>
        </is>
      </c>
    </row>
    <row r="13" ht="46" customHeight="1">
      <c r="A13" s="31" t="inlineStr">
        <is>
          <t>계산식 — 쇼피 총비용</t>
        </is>
      </c>
      <c r="B13" s="41" t="inlineStr">
        <is>
          <t>상품원가 + 국내배송비 + 포장비 + 광고비 + 국제배송비 + 수수료 + 기타비용 + 반품손실</t>
        </is>
      </c>
    </row>
    <row r="14" ht="62" customHeight="1">
      <c r="A14" s="31" t="inlineStr">
        <is>
          <t>계산식 — 반품손실</t>
        </is>
      </c>
      <c r="B14" s="41" t="inlineStr">
        <is>
          <t>반품률 × (상품원가 + 국내배송비 + 포장비 + 국제배송비 + 수수료). 해외 판매는 반품 시 상품을 회수하기 어려워 원가와 이미 나간 비용을 그대로 잃는 경우가 많아 비용에 더합니다. 회수·재판매가 된다면 반품률을 0으로 두세요.</t>
        </is>
      </c>
    </row>
    <row r="15" ht="30" customHeight="1">
      <c r="A15" s="31" t="inlineStr">
        <is>
          <t>계산식 — 큐텐 순이익</t>
        </is>
      </c>
      <c r="B15" s="41" t="inlineStr">
        <is>
          <t>판매가격 − 상품원가 − 국제배송비 − 포장비 − 큐텐수수료 − 기타비용</t>
        </is>
      </c>
    </row>
    <row r="16" ht="30" customHeight="1">
      <c r="A16" s="31" t="inlineStr">
        <is>
          <t>계산식 — 마진율</t>
        </is>
      </c>
      <c r="B16" s="41" t="inlineStr">
        <is>
          <t>순이익 ÷ 판매가(원)</t>
        </is>
      </c>
    </row>
    <row r="17" ht="30" customHeight="1">
      <c r="A17" s="31" t="inlineStr">
        <is>
          <t>계산식 — ROI</t>
        </is>
      </c>
      <c r="B17" s="41" t="inlineStr">
        <is>
          <t>순이익 ÷ 투입원가. 자금 회전율을 볼 때 씁니다.</t>
        </is>
      </c>
    </row>
    <row r="18" ht="30" customHeight="1">
      <c r="A18" s="31" t="inlineStr">
        <is>
          <t>계산식 — 손익분기가</t>
        </is>
      </c>
      <c r="B18" s="41" t="inlineStr">
        <is>
          <t>순이익이 정확히 0이 되는 판매가입니다. 이 값보다 낮게 팔면 적자입니다.</t>
        </is>
      </c>
    </row>
    <row r="19" ht="62" customHeight="1">
      <c r="A19" s="31" t="inlineStr">
        <is>
          <t>수수료율 주의</t>
        </is>
      </c>
      <c r="B19" s="41" t="inlineStr">
        <is>
          <t>파일에 들어 있는 수수료율은 전부 기본값입니다. 카테고리·프로모션·셀러 등급·크로스보더 여부에 따라 달라지므로, 각 셀러센터에서 내 계정에 적용되는 요율을 확인한 뒤 바꿔서 쓰세요.</t>
        </is>
      </c>
    </row>
    <row r="20" ht="62" customHeight="1">
      <c r="A20" s="31" t="inlineStr">
        <is>
          <t>부가세</t>
        </is>
      </c>
      <c r="B20" s="41" t="inlineStr">
        <is>
          <t>한국에서 해외로 파는 수출은 영세율(0%)이라 매출 부가세를 계산에 넣지 않았습니다. 매입 부가세 환급을 반영하려면 상품원가를 부가세 뺀 공급가액으로 넣으세요. 현지 수입관세나 VAT를 셀러가 부담한다면 '기타비용'에 더하면 됩니다.</t>
        </is>
      </c>
    </row>
    <row r="21" ht="46" customHeight="1">
      <c r="A21" s="31" t="inlineStr">
        <is>
          <t>열리는 프로그램</t>
        </is>
      </c>
      <c r="B21" s="41" t="inlineStr">
        <is>
          <t>엑셀, 구글 스프레드시트, 한셀, 넘버스, LibreOffice Calc 모두에서 수식이 그대로 동작합니다.</t>
        </is>
      </c>
    </row>
    <row r="23">
      <c r="A23" s="2" t="inlineStr">
        <is>
          <t>※ 이 파일의 계산 결과는 참고용 추정치입니다. 수수료율·환율·관세는 실제 정산 시점의 값과 다를 수 있습니다.</t>
        </is>
      </c>
    </row>
    <row r="24">
      <c r="A24" s="2" t="inlineStr">
        <is>
          <t>만든 곳 · 유어팀 글로벌 마진 계산기  https://margin.ur-team.com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2026-09-04T05:14:53Z</dcterms:created>
  <dcterms:modified xsi:type="dcterms:W3CDTF">2026-09-04T05:14:53Z</dcterms:modified>
</cp:coreProperties>
</file>