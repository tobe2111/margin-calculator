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가별 마진 비교" sheetId="1" state="visible" r:id="rId1"/>
    <sheet name="사용법 · 계산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14161A"/>
      <sz val="15"/>
    </font>
    <font>
      <name val="맑은 고딕"/>
      <color rgb="005C636E"/>
      <sz val="9"/>
    </font>
    <font>
      <name val="맑은 고딕"/>
      <b val="1"/>
      <color rgb="0014161A"/>
      <sz val="10"/>
    </font>
    <font>
      <name val="맑은 고딕"/>
      <color rgb="0014161A"/>
      <sz val="10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F5F7"/>
      </patternFill>
    </fill>
    <fill>
      <patternFill patternType="solid">
        <fgColor rgb="00FFF8E1"/>
      </patternFill>
    </fill>
    <fill>
      <patternFill patternType="solid">
        <fgColor rgb="001B58BF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4" fontId="4" fillId="2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맑은 고딕"/>
        <b val="1"/>
        <color rgb="00C42A44"/>
        <sz val="10"/>
      </font>
    </dxf>
    <dxf>
      <font>
        <name val="맑은 고딕"/>
        <b val="1"/>
        <color rgb="000B7A5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3" customWidth="1" min="4" max="4"/>
    <col width="12" customWidth="1" min="5" max="5"/>
    <col width="10" customWidth="1" min="6" max="6"/>
    <col width="10" customWidth="1" min="7" max="7"/>
    <col width="11" customWidth="1" min="8" max="8"/>
    <col width="14" customWidth="1" min="9" max="9"/>
    <col width="13" customWidth="1" min="10" max="10"/>
    <col width="13" customWidth="1" min="11" max="11"/>
    <col width="14" customWidth="1" min="12" max="12"/>
    <col width="9" customWidth="1" min="13" max="13"/>
    <col width="9" customWidth="1" min="14" max="14"/>
    <col width="14" customWidth="1" min="15" max="15"/>
    <col width="16" customWidth="1" min="16" max="16"/>
  </cols>
  <sheetData>
    <row r="1" ht="26" customHeight="1">
      <c r="A1" s="1" t="inlineStr">
        <is>
          <t>쇼피(Shopee) 국가별 마진 계산기</t>
        </is>
      </c>
      <c r="H1" s="2" t="inlineStr">
        <is>
          <t>노란칸만 입력하면 나머지는 자동 계산됩니다</t>
        </is>
      </c>
    </row>
    <row r="3">
      <c r="A3" s="3" t="inlineStr">
        <is>
          <t>공통 입력</t>
        </is>
      </c>
      <c r="B3" s="4" t="n"/>
      <c r="C3" s="5" t="n"/>
    </row>
    <row r="4">
      <c r="A4" s="6" t="inlineStr">
        <is>
          <t>상품명</t>
        </is>
      </c>
      <c r="B4" s="7" t="n"/>
      <c r="C4" s="8" t="inlineStr">
        <is>
          <t>샘플 상품</t>
        </is>
      </c>
      <c r="E4" s="9" t="inlineStr">
        <is>
          <t>반품률은 '반품 시 상품원가·배송비를 전부 잃는다'고 보고 비용에 더합니다.
수수료율은 기본값입니다. 실제 요율은 쇼피 셀러센터에서 확인 후 F·G열을 고쳐 쓰세요.
환율은 https://margin.ur-team.com 에서 실시간 값을 확인할 수 있습니다.</t>
        </is>
      </c>
    </row>
    <row r="5">
      <c r="A5" s="6" t="inlineStr">
        <is>
          <t>상품원가 (원)</t>
        </is>
      </c>
      <c r="B5" s="7" t="n"/>
      <c r="C5" s="10" t="n">
        <v>12000</v>
      </c>
    </row>
    <row r="6">
      <c r="A6" s="6" t="inlineStr">
        <is>
          <t>국내배송비 (원)</t>
        </is>
      </c>
      <c r="B6" s="7" t="n"/>
      <c r="C6" s="10" t="n">
        <v>3000</v>
      </c>
    </row>
    <row r="7">
      <c r="A7" s="6" t="inlineStr">
        <is>
          <t>포장비 (원)</t>
        </is>
      </c>
      <c r="B7" s="7" t="n"/>
      <c r="C7" s="10" t="n">
        <v>800</v>
      </c>
    </row>
    <row r="8">
      <c r="A8" s="6" t="inlineStr">
        <is>
          <t>개당 광고비 (원)</t>
        </is>
      </c>
      <c r="B8" s="7" t="n"/>
      <c r="C8" s="10" t="n">
        <v>1500</v>
      </c>
    </row>
    <row r="9">
      <c r="A9" s="6" t="inlineStr">
        <is>
          <t>반품률</t>
        </is>
      </c>
      <c r="B9" s="7" t="n"/>
      <c r="C9" s="11" t="n">
        <v>0.03</v>
      </c>
    </row>
    <row r="10">
      <c r="A10" s="6" t="inlineStr">
        <is>
          <t>목표 마진율</t>
        </is>
      </c>
      <c r="B10" s="7" t="n"/>
      <c r="C10" s="11" t="n">
        <v>0.2</v>
      </c>
    </row>
    <row r="12">
      <c r="A12" s="3" t="inlineStr">
        <is>
          <t>국가별 비교</t>
        </is>
      </c>
      <c r="B12" s="4" t="n"/>
      <c r="C12" s="4" t="n"/>
      <c r="D12" s="5" t="n"/>
    </row>
    <row r="13" ht="34" customHeight="1">
      <c r="A13" s="12" t="inlineStr">
        <is>
          <t>국가</t>
        </is>
      </c>
      <c r="B13" s="12" t="inlineStr">
        <is>
          <t>통화</t>
        </is>
      </c>
      <c r="C13" s="12" t="inlineStr">
        <is>
          <t>환율
(1통화=원)</t>
        </is>
      </c>
      <c r="D13" s="12" t="inlineStr">
        <is>
          <t>판매가격
(현지통화)</t>
        </is>
      </c>
      <c r="E13" s="12" t="inlineStr">
        <is>
          <t>국제배송비
(원)</t>
        </is>
      </c>
      <c r="F13" s="12" t="inlineStr">
        <is>
          <t>판매
수수료율</t>
        </is>
      </c>
      <c r="G13" s="12" t="inlineStr">
        <is>
          <t>결제
수수료율</t>
        </is>
      </c>
      <c r="H13" s="12" t="inlineStr">
        <is>
          <t>기타비용
(원)</t>
        </is>
      </c>
      <c r="I13" s="12" t="inlineStr">
        <is>
          <t>판매가격
(원)</t>
        </is>
      </c>
      <c r="J13" s="12" t="inlineStr">
        <is>
          <t>쇼피 수수료
(원)</t>
        </is>
      </c>
      <c r="K13" s="12" t="inlineStr">
        <is>
          <t>총비용
(원)</t>
        </is>
      </c>
      <c r="L13" s="12" t="inlineStr">
        <is>
          <t>순이익
(원)</t>
        </is>
      </c>
      <c r="M13" s="12" t="inlineStr">
        <is>
          <t>마진율</t>
        </is>
      </c>
      <c r="N13" s="12" t="inlineStr">
        <is>
          <t>ROI</t>
        </is>
      </c>
      <c r="O13" s="12" t="inlineStr">
        <is>
          <t>손익분기가
(현지통화)</t>
        </is>
      </c>
      <c r="P13" s="12" t="inlineStr">
        <is>
          <t>목표마진 판매가
(현지통화)</t>
        </is>
      </c>
    </row>
    <row r="14">
      <c r="A14" s="13" t="inlineStr">
        <is>
          <t>싱가포르</t>
        </is>
      </c>
      <c r="B14" s="14" t="inlineStr">
        <is>
          <t>SGD</t>
        </is>
      </c>
      <c r="C14" s="15" t="n">
        <v>1070</v>
      </c>
      <c r="D14" s="15" t="n">
        <v>31</v>
      </c>
      <c r="E14" s="10" t="n">
        <v>6000</v>
      </c>
      <c r="F14" s="11" t="n">
        <v>0.06</v>
      </c>
      <c r="G14" s="11" t="n">
        <v>0.02</v>
      </c>
      <c r="H14" s="10" t="n">
        <v>0</v>
      </c>
      <c r="I14" s="16">
        <f>D14*C14</f>
        <v/>
      </c>
      <c r="J14" s="16">
        <f>I14*(F14+G14)</f>
        <v/>
      </c>
      <c r="K14" s="16">
        <f>$C$5+$C$6+$C$7+$C$8+E14+J14+H14+$C$9*($C$5+$C$6+$C$7+E14+J14)</f>
        <v/>
      </c>
      <c r="L14" s="16">
        <f>I14-K14</f>
        <v/>
      </c>
      <c r="M14" s="17">
        <f>IF(I14=0,"",L14/I14)</f>
        <v/>
      </c>
      <c r="N14" s="17">
        <f>IF(($C$5+$C$6+$C$7+$C$8+E14)=0,"",L14/($C$5+$C$6+$C$7+$C$8+E14))</f>
        <v/>
      </c>
      <c r="O14" s="18">
        <f>IFERROR((($C$5+$C$6+$C$7+$C$8+E14+H14)+$C$9*($C$5+$C$6+$C$7+E14))/(1-(F14+G14)*(1+$C$9))/C14,"")</f>
        <v/>
      </c>
      <c r="P14" s="18">
        <f>IFERROR((($C$5+$C$6+$C$7+$C$8+E14+H14)+$C$9*($C$5+$C$6+$C$7+E14))/(1-(F14+G14)*(1+$C$9)-$C$10)/C14,"")</f>
        <v/>
      </c>
    </row>
    <row r="15">
      <c r="A15" s="13" t="inlineStr">
        <is>
          <t>말레이시아</t>
        </is>
      </c>
      <c r="B15" s="14" t="inlineStr">
        <is>
          <t>MYR</t>
        </is>
      </c>
      <c r="C15" s="15" t="n">
        <v>330</v>
      </c>
      <c r="D15" s="15" t="n">
        <v>100</v>
      </c>
      <c r="E15" s="10" t="n">
        <v>6000</v>
      </c>
      <c r="F15" s="11" t="n">
        <v>0.08</v>
      </c>
      <c r="G15" s="11" t="n">
        <v>0.02</v>
      </c>
      <c r="H15" s="10" t="n">
        <v>0</v>
      </c>
      <c r="I15" s="16">
        <f>D15*C15</f>
        <v/>
      </c>
      <c r="J15" s="16">
        <f>I15*(F15+G15)</f>
        <v/>
      </c>
      <c r="K15" s="16">
        <f>$C$5+$C$6+$C$7+$C$8+E15+J15+H15+$C$9*($C$5+$C$6+$C$7+E15+J15)</f>
        <v/>
      </c>
      <c r="L15" s="16">
        <f>I15-K15</f>
        <v/>
      </c>
      <c r="M15" s="17">
        <f>IF(I15=0,"",L15/I15)</f>
        <v/>
      </c>
      <c r="N15" s="17">
        <f>IF(($C$5+$C$6+$C$7+$C$8+E15)=0,"",L15/($C$5+$C$6+$C$7+$C$8+E15))</f>
        <v/>
      </c>
      <c r="O15" s="18">
        <f>IFERROR((($C$5+$C$6+$C$7+$C$8+E15+H15)+$C$9*($C$5+$C$6+$C$7+E15))/(1-(F15+G15)*(1+$C$9))/C15,"")</f>
        <v/>
      </c>
      <c r="P15" s="18">
        <f>IFERROR((($C$5+$C$6+$C$7+$C$8+E15+H15)+$C$9*($C$5+$C$6+$C$7+E15))/(1-(F15+G15)*(1+$C$9)-$C$10)/C15,"")</f>
        <v/>
      </c>
    </row>
    <row r="16">
      <c r="A16" s="13" t="inlineStr">
        <is>
          <t>태국</t>
        </is>
      </c>
      <c r="B16" s="14" t="inlineStr">
        <is>
          <t>THB</t>
        </is>
      </c>
      <c r="C16" s="15" t="n">
        <v>42</v>
      </c>
      <c r="D16" s="15" t="n">
        <v>790</v>
      </c>
      <c r="E16" s="10" t="n">
        <v>6000</v>
      </c>
      <c r="F16" s="11" t="n">
        <v>0.09</v>
      </c>
      <c r="G16" s="11" t="n">
        <v>0.03</v>
      </c>
      <c r="H16" s="10" t="n">
        <v>0</v>
      </c>
      <c r="I16" s="16">
        <f>D16*C16</f>
        <v/>
      </c>
      <c r="J16" s="16">
        <f>I16*(F16+G16)</f>
        <v/>
      </c>
      <c r="K16" s="16">
        <f>$C$5+$C$6+$C$7+$C$8+E16+J16+H16+$C$9*($C$5+$C$6+$C$7+E16+J16)</f>
        <v/>
      </c>
      <c r="L16" s="16">
        <f>I16-K16</f>
        <v/>
      </c>
      <c r="M16" s="17">
        <f>IF(I16=0,"",L16/I16)</f>
        <v/>
      </c>
      <c r="N16" s="17">
        <f>IF(($C$5+$C$6+$C$7+$C$8+E16)=0,"",L16/($C$5+$C$6+$C$7+$C$8+E16))</f>
        <v/>
      </c>
      <c r="O16" s="18">
        <f>IFERROR((($C$5+$C$6+$C$7+$C$8+E16+H16)+$C$9*($C$5+$C$6+$C$7+E16))/(1-(F16+G16)*(1+$C$9))/C16,"")</f>
        <v/>
      </c>
      <c r="P16" s="18">
        <f>IFERROR((($C$5+$C$6+$C$7+$C$8+E16+H16)+$C$9*($C$5+$C$6+$C$7+E16))/(1-(F16+G16)*(1+$C$9)-$C$10)/C16,"")</f>
        <v/>
      </c>
    </row>
    <row r="17">
      <c r="A17" s="13" t="inlineStr">
        <is>
          <t>필리핀</t>
        </is>
      </c>
      <c r="B17" s="14" t="inlineStr">
        <is>
          <t>PHP</t>
        </is>
      </c>
      <c r="C17" s="15" t="n">
        <v>24</v>
      </c>
      <c r="D17" s="15" t="n">
        <v>1380</v>
      </c>
      <c r="E17" s="10" t="n">
        <v>6000</v>
      </c>
      <c r="F17" s="11" t="n">
        <v>0.08</v>
      </c>
      <c r="G17" s="11" t="n">
        <v>0.02</v>
      </c>
      <c r="H17" s="10" t="n">
        <v>0</v>
      </c>
      <c r="I17" s="16">
        <f>D17*C17</f>
        <v/>
      </c>
      <c r="J17" s="16">
        <f>I17*(F17+G17)</f>
        <v/>
      </c>
      <c r="K17" s="16">
        <f>$C$5+$C$6+$C$7+$C$8+E17+J17+H17+$C$9*($C$5+$C$6+$C$7+E17+J17)</f>
        <v/>
      </c>
      <c r="L17" s="16">
        <f>I17-K17</f>
        <v/>
      </c>
      <c r="M17" s="17">
        <f>IF(I17=0,"",L17/I17)</f>
        <v/>
      </c>
      <c r="N17" s="17">
        <f>IF(($C$5+$C$6+$C$7+$C$8+E17)=0,"",L17/($C$5+$C$6+$C$7+$C$8+E17))</f>
        <v/>
      </c>
      <c r="O17" s="18">
        <f>IFERROR((($C$5+$C$6+$C$7+$C$8+E17+H17)+$C$9*($C$5+$C$6+$C$7+E17))/(1-(F17+G17)*(1+$C$9))/C17,"")</f>
        <v/>
      </c>
      <c r="P17" s="18">
        <f>IFERROR((($C$5+$C$6+$C$7+$C$8+E17+H17)+$C$9*($C$5+$C$6+$C$7+E17))/(1-(F17+G17)*(1+$C$9)-$C$10)/C17,"")</f>
        <v/>
      </c>
    </row>
    <row r="18">
      <c r="A18" s="13" t="inlineStr">
        <is>
          <t>베트남</t>
        </is>
      </c>
      <c r="B18" s="14" t="inlineStr">
        <is>
          <t>VND</t>
        </is>
      </c>
      <c r="C18" s="19" t="n">
        <v>0.055</v>
      </c>
      <c r="D18" s="19" t="n">
        <v>600000</v>
      </c>
      <c r="E18" s="10" t="n">
        <v>6000</v>
      </c>
      <c r="F18" s="11" t="n">
        <v>0.1</v>
      </c>
      <c r="G18" s="11" t="n">
        <v>0.025</v>
      </c>
      <c r="H18" s="10" t="n">
        <v>0</v>
      </c>
      <c r="I18" s="16">
        <f>D18*C18</f>
        <v/>
      </c>
      <c r="J18" s="16">
        <f>I18*(F18+G18)</f>
        <v/>
      </c>
      <c r="K18" s="16">
        <f>$C$5+$C$6+$C$7+$C$8+E18+J18+H18+$C$9*($C$5+$C$6+$C$7+E18+J18)</f>
        <v/>
      </c>
      <c r="L18" s="16">
        <f>I18-K18</f>
        <v/>
      </c>
      <c r="M18" s="17">
        <f>IF(I18=0,"",L18/I18)</f>
        <v/>
      </c>
      <c r="N18" s="17">
        <f>IF(($C$5+$C$6+$C$7+$C$8+E18)=0,"",L18/($C$5+$C$6+$C$7+$C$8+E18))</f>
        <v/>
      </c>
      <c r="O18" s="18">
        <f>IFERROR((($C$5+$C$6+$C$7+$C$8+E18+H18)+$C$9*($C$5+$C$6+$C$7+E18))/(1-(F18+G18)*(1+$C$9))/C18,"")</f>
        <v/>
      </c>
      <c r="P18" s="18">
        <f>IFERROR((($C$5+$C$6+$C$7+$C$8+E18+H18)+$C$9*($C$5+$C$6+$C$7+E18))/(1-(F18+G18)*(1+$C$9)-$C$10)/C18,"")</f>
        <v/>
      </c>
    </row>
    <row r="19">
      <c r="A19" s="13" t="inlineStr">
        <is>
          <t>대만</t>
        </is>
      </c>
      <c r="B19" s="14" t="inlineStr">
        <is>
          <t>TWD</t>
        </is>
      </c>
      <c r="C19" s="15" t="n">
        <v>44</v>
      </c>
      <c r="D19" s="15" t="n">
        <v>750</v>
      </c>
      <c r="E19" s="10" t="n">
        <v>6000</v>
      </c>
      <c r="F19" s="11" t="n">
        <v>0.08</v>
      </c>
      <c r="G19" s="11" t="n">
        <v>0.02</v>
      </c>
      <c r="H19" s="10" t="n">
        <v>0</v>
      </c>
      <c r="I19" s="16">
        <f>D19*C19</f>
        <v/>
      </c>
      <c r="J19" s="16">
        <f>I19*(F19+G19)</f>
        <v/>
      </c>
      <c r="K19" s="16">
        <f>$C$5+$C$6+$C$7+$C$8+E19+J19+H19+$C$9*($C$5+$C$6+$C$7+E19+J19)</f>
        <v/>
      </c>
      <c r="L19" s="16">
        <f>I19-K19</f>
        <v/>
      </c>
      <c r="M19" s="17">
        <f>IF(I19=0,"",L19/I19)</f>
        <v/>
      </c>
      <c r="N19" s="17">
        <f>IF(($C$5+$C$6+$C$7+$C$8+E19)=0,"",L19/($C$5+$C$6+$C$7+$C$8+E19))</f>
        <v/>
      </c>
      <c r="O19" s="18">
        <f>IFERROR((($C$5+$C$6+$C$7+$C$8+E19+H19)+$C$9*($C$5+$C$6+$C$7+E19))/(1-(F19+G19)*(1+$C$9))/C19,"")</f>
        <v/>
      </c>
      <c r="P19" s="18">
        <f>IFERROR((($C$5+$C$6+$C$7+$C$8+E19+H19)+$C$9*($C$5+$C$6+$C$7+E19))/(1-(F19+G19)*(1+$C$9)-$C$10)/C19,"")</f>
        <v/>
      </c>
    </row>
    <row r="20">
      <c r="A20" s="13" t="inlineStr">
        <is>
          <t>브라질</t>
        </is>
      </c>
      <c r="B20" s="14" t="inlineStr">
        <is>
          <t>BRL</t>
        </is>
      </c>
      <c r="C20" s="15" t="n">
        <v>250</v>
      </c>
      <c r="D20" s="15" t="n">
        <v>132</v>
      </c>
      <c r="E20" s="10" t="n">
        <v>6000</v>
      </c>
      <c r="F20" s="11" t="n">
        <v>0.2</v>
      </c>
      <c r="G20" s="11" t="n">
        <v>0.02</v>
      </c>
      <c r="H20" s="10" t="n">
        <v>0</v>
      </c>
      <c r="I20" s="16">
        <f>D20*C20</f>
        <v/>
      </c>
      <c r="J20" s="16">
        <f>I20*(F20+G20)</f>
        <v/>
      </c>
      <c r="K20" s="16">
        <f>$C$5+$C$6+$C$7+$C$8+E20+J20+H20+$C$9*($C$5+$C$6+$C$7+E20+J20)</f>
        <v/>
      </c>
      <c r="L20" s="16">
        <f>I20-K20</f>
        <v/>
      </c>
      <c r="M20" s="17">
        <f>IF(I20=0,"",L20/I20)</f>
        <v/>
      </c>
      <c r="N20" s="17">
        <f>IF(($C$5+$C$6+$C$7+$C$8+E20)=0,"",L20/($C$5+$C$6+$C$7+$C$8+E20))</f>
        <v/>
      </c>
      <c r="O20" s="18">
        <f>IFERROR((($C$5+$C$6+$C$7+$C$8+E20+H20)+$C$9*($C$5+$C$6+$C$7+E20))/(1-(F20+G20)*(1+$C$9))/C20,"")</f>
        <v/>
      </c>
      <c r="P20" s="18">
        <f>IFERROR((($C$5+$C$6+$C$7+$C$8+E20+H20)+$C$9*($C$5+$C$6+$C$7+E20))/(1-(F20+G20)*(1+$C$9)-$C$10)/C20,"")</f>
        <v/>
      </c>
    </row>
    <row r="21">
      <c r="A21" s="13" t="inlineStr">
        <is>
          <t>멕시코</t>
        </is>
      </c>
      <c r="B21" s="14" t="inlineStr">
        <is>
          <t>MXN</t>
        </is>
      </c>
      <c r="C21" s="15" t="n">
        <v>72</v>
      </c>
      <c r="D21" s="15" t="n">
        <v>460</v>
      </c>
      <c r="E21" s="10" t="n">
        <v>6000</v>
      </c>
      <c r="F21" s="11" t="n">
        <v>0.16</v>
      </c>
      <c r="G21" s="11" t="n">
        <v>0.02</v>
      </c>
      <c r="H21" s="10" t="n">
        <v>0</v>
      </c>
      <c r="I21" s="16">
        <f>D21*C21</f>
        <v/>
      </c>
      <c r="J21" s="16">
        <f>I21*(F21+G21)</f>
        <v/>
      </c>
      <c r="K21" s="16">
        <f>$C$5+$C$6+$C$7+$C$8+E21+J21+H21+$C$9*($C$5+$C$6+$C$7+E21+J21)</f>
        <v/>
      </c>
      <c r="L21" s="16">
        <f>I21-K21</f>
        <v/>
      </c>
      <c r="M21" s="17">
        <f>IF(I21=0,"",L21/I21)</f>
        <v/>
      </c>
      <c r="N21" s="17">
        <f>IF(($C$5+$C$6+$C$7+$C$8+E21)=0,"",L21/($C$5+$C$6+$C$7+$C$8+E21))</f>
        <v/>
      </c>
      <c r="O21" s="18">
        <f>IFERROR((($C$5+$C$6+$C$7+$C$8+E21+H21)+$C$9*($C$5+$C$6+$C$7+E21))/(1-(F21+G21)*(1+$C$9))/C21,"")</f>
        <v/>
      </c>
      <c r="P21" s="18">
        <f>IFERROR((($C$5+$C$6+$C$7+$C$8+E21+H21)+$C$9*($C$5+$C$6+$C$7+E21))/(1-(F21+G21)*(1+$C$9)-$C$10)/C21,"")</f>
        <v/>
      </c>
    </row>
    <row r="23">
      <c r="A23" s="3" t="inlineStr">
        <is>
          <t>가장 남는 국가</t>
        </is>
      </c>
      <c r="B23" s="7" t="n"/>
      <c r="C23" s="20">
        <f>IFERROR(INDEX($A$14:$A$21,MATCH(MAX($L$14:$L$21),$L$14:$L$21,0)),"")</f>
        <v/>
      </c>
      <c r="D23" s="21">
        <f>MAX($L$14:$L$21)</f>
        <v/>
      </c>
      <c r="E23" s="22">
        <f>IFERROR(INDEX($M$14:$M$21,MATCH(MAX($L$14:$L$21),$L$14:$L$21,0)),"")</f>
        <v/>
      </c>
      <c r="F23" s="9" t="inlineStr">
        <is>
          <t>← 순이익 / 마진율</t>
        </is>
      </c>
    </row>
    <row r="24">
      <c r="A24" s="3" t="inlineStr">
        <is>
          <t>적자 국가 수</t>
        </is>
      </c>
      <c r="B24" s="7" t="n"/>
      <c r="C24" s="20">
        <f>COUNTIF($L$14:$L$21,"&lt;0")&amp;"개국"</f>
        <v/>
      </c>
    </row>
  </sheetData>
  <mergeCells count="13">
    <mergeCell ref="A4:B4"/>
    <mergeCell ref="A24:B24"/>
    <mergeCell ref="A7:B7"/>
    <mergeCell ref="A12:D12"/>
    <mergeCell ref="A1:F1"/>
    <mergeCell ref="A10:B10"/>
    <mergeCell ref="A5:B5"/>
    <mergeCell ref="A3:C3"/>
    <mergeCell ref="A23:B23"/>
    <mergeCell ref="A9:B9"/>
    <mergeCell ref="A8:B8"/>
    <mergeCell ref="A6:B6"/>
    <mergeCell ref="E4:P9"/>
  </mergeCells>
  <conditionalFormatting sqref="L14:M21">
    <cfRule type="cellIs" priority="1" operator="lessThan" dxfId="0">
      <formula>0</formula>
    </cfRule>
  </conditionalFormatting>
  <conditionalFormatting sqref="M14:M21">
    <cfRule type="cellIs" priority="2" operator="greaterThanOrEqual" dxfId="1">
      <formula>0.15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8" customHeight="1">
      <c r="A1" s="1" t="inlineStr">
        <is>
          <t>쇼피 국가별 마진 계산기 — 사용법</t>
        </is>
      </c>
    </row>
    <row r="3">
      <c r="A3" s="12" t="inlineStr">
        <is>
          <t>항목</t>
        </is>
      </c>
      <c r="B3" s="12" t="inlineStr">
        <is>
          <t>설명</t>
        </is>
      </c>
    </row>
    <row r="4" ht="46" customHeight="1">
      <c r="A4" s="3" t="inlineStr">
        <is>
          <t>① 공통 입력 (C5:C10)</t>
        </is>
      </c>
      <c r="B4" s="23" t="inlineStr">
        <is>
          <t>상품원가·국내배송비·포장비·광고비·반품률·목표마진율을 넣습니다. 모든 국가에 동일하게 적용됩니다.</t>
        </is>
      </c>
    </row>
    <row r="5" ht="46" customHeight="1">
      <c r="A5" s="3" t="inlineStr">
        <is>
          <t>② 국가별 입력 (C14:H21)</t>
        </is>
      </c>
      <c r="B5" s="23" t="inlineStr">
        <is>
          <t>환율·현지통화 판매가·국제배송비·수수료율·기타비용을 국가별로 넣습니다. 노란칸이 전부 입력칸입니다.</t>
        </is>
      </c>
    </row>
    <row r="6" ht="46" customHeight="1">
      <c r="A6" s="3" t="inlineStr">
        <is>
          <t>③ 결과 (I:N열)</t>
        </is>
      </c>
      <c r="B6" s="23" t="inlineStr">
        <is>
          <t>판매가(원)·수수료·총비용·순이익·마진율·ROI가 자동 계산됩니다. 마진율이 0 미만이면 빨강, 15% 이상이면 초록으로 표시됩니다.</t>
        </is>
      </c>
    </row>
    <row r="7" ht="46" customHeight="1">
      <c r="A7" s="3" t="inlineStr">
        <is>
          <t>④ 가격 역산 (O:P열)</t>
        </is>
      </c>
      <c r="B7" s="23" t="inlineStr">
        <is>
          <t>O열은 본전이 되는 판매가, P열은 목표 마진율을 맞추는 판매가입니다. 둘 다 현지통화 기준이라 그대로 상품 등록에 쓸 수 있습니다.</t>
        </is>
      </c>
    </row>
    <row r="8" ht="30" customHeight="1">
      <c r="A8" s="3" t="inlineStr">
        <is>
          <t>계산식 — 판매가(원)</t>
        </is>
      </c>
      <c r="B8" s="23" t="inlineStr">
        <is>
          <t>현지통화 판매가 × 환율</t>
        </is>
      </c>
    </row>
    <row r="9" ht="30" customHeight="1">
      <c r="A9" s="3" t="inlineStr">
        <is>
          <t>계산식 — 쇼피 수수료</t>
        </is>
      </c>
      <c r="B9" s="23" t="inlineStr">
        <is>
          <t>판매가(원) × (판매수수료율 + 결제수수료율)</t>
        </is>
      </c>
    </row>
    <row r="10" ht="46" customHeight="1">
      <c r="A10" s="3" t="inlineStr">
        <is>
          <t>계산식 — 총비용</t>
        </is>
      </c>
      <c r="B10" s="23" t="inlineStr">
        <is>
          <t>상품원가 + 국내배송비 + 포장비 + 광고비 + 국제배송비 + 쇼피수수료 + 기타비용 + 반품손실</t>
        </is>
      </c>
    </row>
    <row r="11" ht="30" customHeight="1">
      <c r="A11" s="3" t="inlineStr">
        <is>
          <t>계산식 — 반품손실</t>
        </is>
      </c>
      <c r="B11" s="23" t="inlineStr">
        <is>
          <t>반품률 × (상품원가 + 국내배송비 + 포장비 + 국제배송비 + 쇼피수수료)</t>
        </is>
      </c>
    </row>
    <row r="12" ht="30" customHeight="1">
      <c r="A12" s="3" t="inlineStr">
        <is>
          <t>계산식 — 순이익</t>
        </is>
      </c>
      <c r="B12" s="23" t="inlineStr">
        <is>
          <t>판매가(원) − 총비용</t>
        </is>
      </c>
    </row>
    <row r="13" ht="30" customHeight="1">
      <c r="A13" s="3" t="inlineStr">
        <is>
          <t>계산식 — 마진율</t>
        </is>
      </c>
      <c r="B13" s="23" t="inlineStr">
        <is>
          <t>순이익 ÷ 판매가(원)</t>
        </is>
      </c>
    </row>
    <row r="14" ht="30" customHeight="1">
      <c r="A14" s="3" t="inlineStr">
        <is>
          <t>계산식 — ROI</t>
        </is>
      </c>
      <c r="B14" s="23" t="inlineStr">
        <is>
          <t>순이익 ÷ (상품원가 + 국내배송비 + 포장비 + 광고비 + 국제배송비)</t>
        </is>
      </c>
    </row>
    <row r="15" ht="46" customHeight="1">
      <c r="A15" s="3" t="inlineStr">
        <is>
          <t>수수료율 주의</t>
        </is>
      </c>
      <c r="B15" s="23" t="inlineStr">
        <is>
          <t>표에 넣은 수수료율은 기본값입니다. 카테고리·프로모션·셀러 등급에 따라 달라지므로 쇼피 셀러센터의 실제 요율로 바꿔서 쓰세요.</t>
        </is>
      </c>
    </row>
    <row r="16" ht="46" customHeight="1">
      <c r="A16" s="3" t="inlineStr">
        <is>
          <t>환율 주의</t>
        </is>
      </c>
      <c r="B16" s="23" t="inlineStr">
        <is>
          <t>환율은 매일 바뀝니다. margin.ur-team.com 사이드바에서 실시간 환율을 확인하고 C열에 옮겨 적으면 정확합니다.</t>
        </is>
      </c>
    </row>
    <row r="17" ht="46" customHeight="1">
      <c r="A17" s="3" t="inlineStr">
        <is>
          <t>부가세·관세</t>
        </is>
      </c>
      <c r="B17" s="23" t="inlineStr">
        <is>
          <t>이 시트는 한국 수출 부가세 영세율(0%)과 현지 수입관세 면세 구간을 가정합니다. 해당되지 않으면 '기타비용(H열)'에 더해 주세요.</t>
        </is>
      </c>
    </row>
    <row r="19">
      <c r="A19" s="9" t="inlineStr">
        <is>
          <t>※ 이 파일의 계산 결과는 참고용 추정치입니다. 수수료율·환율·관세는 실제 정산 시점의 값과 다를 수 있습니다.</t>
        </is>
      </c>
    </row>
    <row r="20">
      <c r="A20" s="9" t="inlineStr">
        <is>
          <t>만든 곳 · 유어팀 글로벌 마진 계산기 https://margin.ur-team.com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2026-09-04T02:14:32Z</dcterms:created>
  <dcterms:modified xsi:type="dcterms:W3CDTF">2026-09-04T02:14:32Z</dcterms:modified>
</cp:coreProperties>
</file>