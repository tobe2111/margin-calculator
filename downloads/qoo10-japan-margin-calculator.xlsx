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큐텐 일본 마진" sheetId="1" state="visible" r:id="rId1"/>
    <sheet name="여러 상품 한번에" sheetId="2" state="visible" r:id="rId2"/>
    <sheet name="사용법 · 계산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14161A"/>
      <sz val="15"/>
    </font>
    <font>
      <name val="맑은 고딕"/>
      <color rgb="005C636E"/>
      <sz val="9"/>
    </font>
    <font>
      <name val="맑은 고딕"/>
      <b val="1"/>
      <color rgb="0014161A"/>
      <sz val="10"/>
    </font>
    <font>
      <name val="맑은 고딕"/>
      <color rgb="0014161A"/>
      <sz val="10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5F7"/>
      </patternFill>
    </fill>
    <fill>
      <patternFill patternType="solid">
        <fgColor rgb="00FFF8E1"/>
      </patternFill>
    </fill>
    <fill>
      <patternFill patternType="solid">
        <fgColor rgb="001B58BF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4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맑은 고딕"/>
        <b val="1"/>
        <color rgb="00C42A44"/>
        <sz val="10"/>
      </font>
    </dxf>
    <dxf>
      <font>
        <name val="맑은 고딕"/>
        <b val="1"/>
        <color rgb="000B7A5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46" customWidth="1" min="4" max="4"/>
    <col width="14" customWidth="1" min="5" max="5"/>
    <col width="14" customWidth="1" min="6" max="6"/>
  </cols>
  <sheetData>
    <row r="1" ht="26" customHeight="1">
      <c r="A1" s="1" t="inlineStr">
        <is>
          <t>큐텐(Qoo10) 재팬 마진 계산기</t>
        </is>
      </c>
      <c r="F1" s="2" t="inlineStr">
        <is>
          <t>노란칸만 입력하면 나머지는 자동 계산됩니다</t>
        </is>
      </c>
    </row>
    <row r="3">
      <c r="A3" s="3" t="inlineStr">
        <is>
          <t>입력</t>
        </is>
      </c>
      <c r="B3" s="4" t="n"/>
      <c r="C3" s="5" t="n"/>
    </row>
    <row r="4">
      <c r="A4" s="6" t="inlineStr">
        <is>
          <t>상품명</t>
        </is>
      </c>
      <c r="B4" s="7" t="n"/>
      <c r="C4" s="8" t="inlineStr">
        <is>
          <t>샘플 상품</t>
        </is>
      </c>
    </row>
    <row r="5">
      <c r="A5" s="6" t="inlineStr">
        <is>
          <t>환율 (1엔 = ? 원)</t>
        </is>
      </c>
      <c r="B5" s="7" t="n"/>
      <c r="C5" s="9" t="n">
        <v>9.300000000000001</v>
      </c>
      <c r="D5" s="10" t="inlineStr">
        <is>
          <t>100엔 기준 환율 ÷ 100</t>
        </is>
      </c>
    </row>
    <row r="6">
      <c r="A6" s="6" t="inlineStr">
        <is>
          <t>판매가격 (엔)</t>
        </is>
      </c>
      <c r="B6" s="7" t="n"/>
      <c r="C6" s="11" t="n">
        <v>3980</v>
      </c>
      <c r="D6" s="10" t="inlineStr">
        <is>
          <t>큐텐 등록가</t>
        </is>
      </c>
    </row>
    <row r="7">
      <c r="A7" s="6" t="inlineStr">
        <is>
          <t>상품원가 (원)</t>
        </is>
      </c>
      <c r="B7" s="7" t="n"/>
      <c r="C7" s="12" t="n">
        <v>12000</v>
      </c>
      <c r="D7" s="10" t="inlineStr">
        <is>
          <t>매입가</t>
        </is>
      </c>
    </row>
    <row r="8">
      <c r="A8" s="6" t="inlineStr">
        <is>
          <t>국제배송비 (원)</t>
        </is>
      </c>
      <c r="B8" s="7" t="n"/>
      <c r="C8" s="12" t="n">
        <v>6000</v>
      </c>
      <c r="D8" s="10" t="inlineStr">
        <is>
          <t>개당 일본 배송비</t>
        </is>
      </c>
    </row>
    <row r="9">
      <c r="A9" s="6" t="inlineStr">
        <is>
          <t>포장비 (원)</t>
        </is>
      </c>
      <c r="B9" s="7" t="n"/>
      <c r="C9" s="12" t="n">
        <v>800</v>
      </c>
      <c r="D9" s="10" t="inlineStr">
        <is>
          <t>박스·완충재·라벨</t>
        </is>
      </c>
    </row>
    <row r="10">
      <c r="A10" s="6" t="inlineStr">
        <is>
          <t>큐텐 수수료율</t>
        </is>
      </c>
      <c r="B10" s="7" t="n"/>
      <c r="C10" s="13" t="n">
        <v>0.1</v>
      </c>
      <c r="D10" s="10" t="inlineStr">
        <is>
          <t>판매수수료 + 결제수수료</t>
        </is>
      </c>
    </row>
    <row r="11">
      <c r="A11" s="6" t="inlineStr">
        <is>
          <t>기타비용 (원)</t>
        </is>
      </c>
      <c r="B11" s="7" t="n"/>
      <c r="C11" s="12" t="n">
        <v>0</v>
      </c>
      <c r="D11" s="10" t="inlineStr">
        <is>
          <t>광고·부자재 등</t>
        </is>
      </c>
    </row>
    <row r="12">
      <c r="A12" s="6" t="inlineStr">
        <is>
          <t>목표 마진율</t>
        </is>
      </c>
      <c r="B12" s="7" t="n"/>
      <c r="C12" s="13" t="n">
        <v>0.2</v>
      </c>
      <c r="D12" s="10" t="inlineStr">
        <is>
          <t>역산에 사용</t>
        </is>
      </c>
    </row>
    <row r="15">
      <c r="A15" s="3" t="inlineStr">
        <is>
          <t>결과</t>
        </is>
      </c>
      <c r="B15" s="4" t="n"/>
      <c r="C15" s="5" t="n"/>
    </row>
    <row r="16">
      <c r="A16" s="3" t="inlineStr">
        <is>
          <t>판매가격 (원)</t>
        </is>
      </c>
      <c r="B16" s="7" t="n"/>
      <c r="C16" s="14">
        <f>C6*C5</f>
        <v/>
      </c>
    </row>
    <row r="17">
      <c r="A17" s="3" t="inlineStr">
        <is>
          <t>큐텐 수수료 (원)</t>
        </is>
      </c>
      <c r="B17" s="7" t="n"/>
      <c r="C17" s="14">
        <f>C16*C10</f>
        <v/>
      </c>
    </row>
    <row r="18">
      <c r="A18" s="3" t="inlineStr">
        <is>
          <t>총비용 (원)</t>
        </is>
      </c>
      <c r="B18" s="7" t="n"/>
      <c r="C18" s="14">
        <f>C7+C8+C9+C17+C11</f>
        <v/>
      </c>
    </row>
    <row r="19">
      <c r="A19" s="3" t="inlineStr">
        <is>
          <t>순이익 (원)</t>
        </is>
      </c>
      <c r="B19" s="7" t="n"/>
      <c r="C19" s="14">
        <f>C16-C18</f>
        <v/>
      </c>
      <c r="D19" s="10" t="inlineStr">
        <is>
          <t>순이익 = 판매가격 − 상품원가 − 국제배송비 − 포장비 − 큐텐수수료 − 기타비용</t>
        </is>
      </c>
    </row>
    <row r="20">
      <c r="A20" s="3" t="inlineStr">
        <is>
          <t>마진율</t>
        </is>
      </c>
      <c r="B20" s="7" t="n"/>
      <c r="C20" s="15">
        <f>IF(C16=0,"",C19/C16)</f>
        <v/>
      </c>
    </row>
    <row r="21">
      <c r="A21" s="3" t="inlineStr">
        <is>
          <t>ROI</t>
        </is>
      </c>
      <c r="B21" s="7" t="n"/>
      <c r="C21" s="15">
        <f>IF((C7+C8+C9+C11)=0,"",C19/(C7+C8+C9+C11))</f>
        <v/>
      </c>
    </row>
    <row r="22">
      <c r="A22" s="3" t="inlineStr">
        <is>
          <t>순이익 (엔)</t>
        </is>
      </c>
      <c r="B22" s="7" t="n"/>
      <c r="C22" s="16">
        <f>IF(C5=0,"",C19/C5)</f>
        <v/>
      </c>
    </row>
    <row r="24">
      <c r="A24" s="3" t="inlineStr">
        <is>
          <t>판매가 역산</t>
        </is>
      </c>
      <c r="B24" s="4" t="n"/>
      <c r="C24" s="5" t="n"/>
    </row>
    <row r="25">
      <c r="A25" s="6" t="inlineStr">
        <is>
          <t>손익분기 판매가 (엔)</t>
        </is>
      </c>
      <c r="B25" s="7" t="n"/>
      <c r="C25" s="17">
        <f>IFERROR((C7+C8+C9+C11)/(1-C10)/C5,"")</f>
        <v/>
      </c>
    </row>
    <row r="26">
      <c r="A26" s="6" t="inlineStr">
        <is>
          <t>목표마진 달성 판매가 (엔)</t>
        </is>
      </c>
      <c r="B26" s="7" t="n"/>
      <c r="C26" s="17">
        <f>IFERROR((C7+C8+C9+C11)/(1-C10-C12)/C5,"")</f>
        <v/>
      </c>
    </row>
    <row r="27">
      <c r="A27" s="6" t="inlineStr">
        <is>
          <t>손익분기 환율 (1엔=?원)</t>
        </is>
      </c>
      <c r="B27" s="7" t="n"/>
      <c r="C27" s="18">
        <f>IFERROR((C7+C8+C9+C11)/(1-C10)/C6,"")</f>
        <v/>
      </c>
      <c r="D27" s="10" t="inlineStr">
        <is>
          <t>환율이 이 값 아래로 떨어지면 지금 판매가로는 적자입니다.</t>
        </is>
      </c>
    </row>
  </sheetData>
  <mergeCells count="23">
    <mergeCell ref="A11:B11"/>
    <mergeCell ref="A3:C3"/>
    <mergeCell ref="A6:B6"/>
    <mergeCell ref="A16:B16"/>
    <mergeCell ref="A7:B7"/>
    <mergeCell ref="A25:B25"/>
    <mergeCell ref="A18:B18"/>
    <mergeCell ref="A27:B27"/>
    <mergeCell ref="A12:B12"/>
    <mergeCell ref="A1:D1"/>
    <mergeCell ref="A26:B26"/>
    <mergeCell ref="A21:B21"/>
    <mergeCell ref="A5:B5"/>
    <mergeCell ref="A17:B17"/>
    <mergeCell ref="A15:C15"/>
    <mergeCell ref="A8:B8"/>
    <mergeCell ref="A24:C24"/>
    <mergeCell ref="A22:B22"/>
    <mergeCell ref="A4:B4"/>
    <mergeCell ref="A20:B20"/>
    <mergeCell ref="A19:B19"/>
    <mergeCell ref="A10:B10"/>
    <mergeCell ref="A9:B9"/>
  </mergeCells>
  <conditionalFormatting sqref="C19:C20">
    <cfRule type="cellIs" priority="1" operator="lessThan" dxfId="0">
      <formula>0</formula>
    </cfRule>
  </conditionalFormatting>
  <conditionalFormatting sqref="C20">
    <cfRule type="cellIs" priority="2" operator="greaterThanOrEqual" dxfId="1">
      <formula>0.15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2" customWidth="1" min="4" max="4"/>
    <col width="11" customWidth="1" min="5" max="5"/>
    <col width="10" customWidth="1" min="6" max="6"/>
    <col width="11" customWidth="1" min="7" max="7"/>
    <col width="14" customWidth="1" min="8" max="8"/>
    <col width="13" customWidth="1" min="9" max="9"/>
    <col width="13" customWidth="1" min="10" max="10"/>
    <col width="14" customWidth="1" min="11" max="11"/>
    <col width="9" customWidth="1" min="12" max="12"/>
    <col width="9" customWidth="1" min="13" max="13"/>
  </cols>
  <sheetData>
    <row r="1" ht="26" customHeight="1">
      <c r="A1" s="1" t="inlineStr">
        <is>
          <t>큐텐 재팬 — 상품별 마진 일괄 계산</t>
        </is>
      </c>
    </row>
    <row r="3">
      <c r="A3" s="6" t="inlineStr">
        <is>
          <t>환율 (1엔 = ? 원)</t>
        </is>
      </c>
      <c r="B3" s="7" t="n"/>
      <c r="C3" s="9" t="n">
        <v>9.300000000000001</v>
      </c>
      <c r="D3" s="10" t="inlineStr">
        <is>
          <t>아래 표 전체에 적용됩니다</t>
        </is>
      </c>
    </row>
    <row r="5" ht="34" customHeight="1">
      <c r="A5" s="19" t="inlineStr">
        <is>
          <t>상품명</t>
        </is>
      </c>
      <c r="B5" s="19" t="inlineStr">
        <is>
          <t>판매가격
(엔)</t>
        </is>
      </c>
      <c r="C5" s="19" t="inlineStr">
        <is>
          <t>상품원가
(원)</t>
        </is>
      </c>
      <c r="D5" s="19" t="inlineStr">
        <is>
          <t>국제배송비
(원)</t>
        </is>
      </c>
      <c r="E5" s="19" t="inlineStr">
        <is>
          <t>포장비
(원)</t>
        </is>
      </c>
      <c r="F5" s="19" t="inlineStr">
        <is>
          <t>큐텐
수수료율</t>
        </is>
      </c>
      <c r="G5" s="19" t="inlineStr">
        <is>
          <t>기타비용
(원)</t>
        </is>
      </c>
      <c r="H5" s="19" t="inlineStr">
        <is>
          <t>판매가격
(원)</t>
        </is>
      </c>
      <c r="I5" s="19" t="inlineStr">
        <is>
          <t>큐텐수수료
(원)</t>
        </is>
      </c>
      <c r="J5" s="19" t="inlineStr">
        <is>
          <t>총비용
(원)</t>
        </is>
      </c>
      <c r="K5" s="19" t="inlineStr">
        <is>
          <t>순이익
(원)</t>
        </is>
      </c>
      <c r="L5" s="19" t="inlineStr">
        <is>
          <t>마진율</t>
        </is>
      </c>
      <c r="M5" s="19" t="inlineStr">
        <is>
          <t>ROI</t>
        </is>
      </c>
    </row>
    <row r="6">
      <c r="A6" s="8" t="inlineStr">
        <is>
          <t>샘플 상품 A</t>
        </is>
      </c>
      <c r="B6" s="11" t="n">
        <v>3980</v>
      </c>
      <c r="C6" s="12" t="n">
        <v>12000</v>
      </c>
      <c r="D6" s="12" t="n">
        <v>6000</v>
      </c>
      <c r="E6" s="12" t="n">
        <v>800</v>
      </c>
      <c r="F6" s="13" t="n">
        <v>0.1</v>
      </c>
      <c r="G6" s="12" t="n">
        <v>0</v>
      </c>
      <c r="H6" s="20">
        <f>IF(B6="","",B6*$C$3)</f>
        <v/>
      </c>
      <c r="I6" s="20">
        <f>IF(B6="","",H6*F6)</f>
        <v/>
      </c>
      <c r="J6" s="20">
        <f>IF(B6="","",C6+D6+E6+I6+G6)</f>
        <v/>
      </c>
      <c r="K6" s="20">
        <f>IF(B6="","",H6-J6)</f>
        <v/>
      </c>
      <c r="L6" s="21">
        <f>IF(OR(B6="",H6=0),"",K6/H6)</f>
        <v/>
      </c>
      <c r="M6" s="21">
        <f>IF(OR(B6="",(C6+D6+E6+G6)=0),"",K6/(C6+D6+E6+G6))</f>
        <v/>
      </c>
    </row>
    <row r="7">
      <c r="A7" s="8" t="inlineStr">
        <is>
          <t>샘플 상품 B</t>
        </is>
      </c>
      <c r="B7" s="11" t="n">
        <v>2480</v>
      </c>
      <c r="C7" s="12" t="n">
        <v>7000</v>
      </c>
      <c r="D7" s="12" t="n">
        <v>4500</v>
      </c>
      <c r="E7" s="12" t="n">
        <v>500</v>
      </c>
      <c r="F7" s="13" t="n">
        <v>0.1</v>
      </c>
      <c r="G7" s="12" t="n">
        <v>0</v>
      </c>
      <c r="H7" s="20">
        <f>IF(B7="","",B7*$C$3)</f>
        <v/>
      </c>
      <c r="I7" s="20">
        <f>IF(B7="","",H7*F7)</f>
        <v/>
      </c>
      <c r="J7" s="20">
        <f>IF(B7="","",C7+D7+E7+I7+G7)</f>
        <v/>
      </c>
      <c r="K7" s="20">
        <f>IF(B7="","",H7-J7)</f>
        <v/>
      </c>
      <c r="L7" s="21">
        <f>IF(OR(B7="",H7=0),"",K7/H7)</f>
        <v/>
      </c>
      <c r="M7" s="21">
        <f>IF(OR(B7="",(C7+D7+E7+G7)=0),"",K7/(C7+D7+E7+G7))</f>
        <v/>
      </c>
    </row>
    <row r="8">
      <c r="A8" s="8" t="n"/>
      <c r="B8" s="11" t="n"/>
      <c r="C8" s="12" t="n"/>
      <c r="D8" s="12" t="n"/>
      <c r="E8" s="12" t="n"/>
      <c r="F8" s="13" t="n">
        <v>0.1</v>
      </c>
      <c r="G8" s="12" t="n">
        <v>0</v>
      </c>
      <c r="H8" s="20">
        <f>IF(B8="","",B8*$C$3)</f>
        <v/>
      </c>
      <c r="I8" s="20">
        <f>IF(B8="","",H8*F8)</f>
        <v/>
      </c>
      <c r="J8" s="20">
        <f>IF(B8="","",C8+D8+E8+I8+G8)</f>
        <v/>
      </c>
      <c r="K8" s="20">
        <f>IF(B8="","",H8-J8)</f>
        <v/>
      </c>
      <c r="L8" s="21">
        <f>IF(OR(B8="",H8=0),"",K8/H8)</f>
        <v/>
      </c>
      <c r="M8" s="21">
        <f>IF(OR(B8="",(C8+D8+E8+G8)=0),"",K8/(C8+D8+E8+G8))</f>
        <v/>
      </c>
    </row>
    <row r="9">
      <c r="A9" s="8" t="n"/>
      <c r="B9" s="11" t="n"/>
      <c r="C9" s="12" t="n"/>
      <c r="D9" s="12" t="n"/>
      <c r="E9" s="12" t="n"/>
      <c r="F9" s="13" t="n">
        <v>0.1</v>
      </c>
      <c r="G9" s="12" t="n">
        <v>0</v>
      </c>
      <c r="H9" s="20">
        <f>IF(B9="","",B9*$C$3)</f>
        <v/>
      </c>
      <c r="I9" s="20">
        <f>IF(B9="","",H9*F9)</f>
        <v/>
      </c>
      <c r="J9" s="20">
        <f>IF(B9="","",C9+D9+E9+I9+G9)</f>
        <v/>
      </c>
      <c r="K9" s="20">
        <f>IF(B9="","",H9-J9)</f>
        <v/>
      </c>
      <c r="L9" s="21">
        <f>IF(OR(B9="",H9=0),"",K9/H9)</f>
        <v/>
      </c>
      <c r="M9" s="21">
        <f>IF(OR(B9="",(C9+D9+E9+G9)=0),"",K9/(C9+D9+E9+G9))</f>
        <v/>
      </c>
    </row>
    <row r="10">
      <c r="A10" s="8" t="n"/>
      <c r="B10" s="11" t="n"/>
      <c r="C10" s="12" t="n"/>
      <c r="D10" s="12" t="n"/>
      <c r="E10" s="12" t="n"/>
      <c r="F10" s="13" t="n">
        <v>0.1</v>
      </c>
      <c r="G10" s="12" t="n">
        <v>0</v>
      </c>
      <c r="H10" s="20">
        <f>IF(B10="","",B10*$C$3)</f>
        <v/>
      </c>
      <c r="I10" s="20">
        <f>IF(B10="","",H10*F10)</f>
        <v/>
      </c>
      <c r="J10" s="20">
        <f>IF(B10="","",C10+D10+E10+I10+G10)</f>
        <v/>
      </c>
      <c r="K10" s="20">
        <f>IF(B10="","",H10-J10)</f>
        <v/>
      </c>
      <c r="L10" s="21">
        <f>IF(OR(B10="",H10=0),"",K10/H10)</f>
        <v/>
      </c>
      <c r="M10" s="21">
        <f>IF(OR(B10="",(C10+D10+E10+G10)=0),"",K10/(C10+D10+E10+G10))</f>
        <v/>
      </c>
    </row>
    <row r="11">
      <c r="A11" s="8" t="n"/>
      <c r="B11" s="11" t="n"/>
      <c r="C11" s="12" t="n"/>
      <c r="D11" s="12" t="n"/>
      <c r="E11" s="12" t="n"/>
      <c r="F11" s="13" t="n">
        <v>0.1</v>
      </c>
      <c r="G11" s="12" t="n">
        <v>0</v>
      </c>
      <c r="H11" s="20">
        <f>IF(B11="","",B11*$C$3)</f>
        <v/>
      </c>
      <c r="I11" s="20">
        <f>IF(B11="","",H11*F11)</f>
        <v/>
      </c>
      <c r="J11" s="20">
        <f>IF(B11="","",C11+D11+E11+I11+G11)</f>
        <v/>
      </c>
      <c r="K11" s="20">
        <f>IF(B11="","",H11-J11)</f>
        <v/>
      </c>
      <c r="L11" s="21">
        <f>IF(OR(B11="",H11=0),"",K11/H11)</f>
        <v/>
      </c>
      <c r="M11" s="21">
        <f>IF(OR(B11="",(C11+D11+E11+G11)=0),"",K11/(C11+D11+E11+G11))</f>
        <v/>
      </c>
    </row>
    <row r="12">
      <c r="A12" s="8" t="n"/>
      <c r="B12" s="11" t="n"/>
      <c r="C12" s="12" t="n"/>
      <c r="D12" s="12" t="n"/>
      <c r="E12" s="12" t="n"/>
      <c r="F12" s="13" t="n">
        <v>0.1</v>
      </c>
      <c r="G12" s="12" t="n">
        <v>0</v>
      </c>
      <c r="H12" s="20">
        <f>IF(B12="","",B12*$C$3)</f>
        <v/>
      </c>
      <c r="I12" s="20">
        <f>IF(B12="","",H12*F12)</f>
        <v/>
      </c>
      <c r="J12" s="20">
        <f>IF(B12="","",C12+D12+E12+I12+G12)</f>
        <v/>
      </c>
      <c r="K12" s="20">
        <f>IF(B12="","",H12-J12)</f>
        <v/>
      </c>
      <c r="L12" s="21">
        <f>IF(OR(B12="",H12=0),"",K12/H12)</f>
        <v/>
      </c>
      <c r="M12" s="21">
        <f>IF(OR(B12="",(C12+D12+E12+G12)=0),"",K12/(C12+D12+E12+G12))</f>
        <v/>
      </c>
    </row>
    <row r="13">
      <c r="A13" s="8" t="n"/>
      <c r="B13" s="11" t="n"/>
      <c r="C13" s="12" t="n"/>
      <c r="D13" s="12" t="n"/>
      <c r="E13" s="12" t="n"/>
      <c r="F13" s="13" t="n">
        <v>0.1</v>
      </c>
      <c r="G13" s="12" t="n">
        <v>0</v>
      </c>
      <c r="H13" s="20">
        <f>IF(B13="","",B13*$C$3)</f>
        <v/>
      </c>
      <c r="I13" s="20">
        <f>IF(B13="","",H13*F13)</f>
        <v/>
      </c>
      <c r="J13" s="20">
        <f>IF(B13="","",C13+D13+E13+I13+G13)</f>
        <v/>
      </c>
      <c r="K13" s="20">
        <f>IF(B13="","",H13-J13)</f>
        <v/>
      </c>
      <c r="L13" s="21">
        <f>IF(OR(B13="",H13=0),"",K13/H13)</f>
        <v/>
      </c>
      <c r="M13" s="21">
        <f>IF(OR(B13="",(C13+D13+E13+G13)=0),"",K13/(C13+D13+E13+G13))</f>
        <v/>
      </c>
    </row>
    <row r="14">
      <c r="A14" s="8" t="n"/>
      <c r="B14" s="11" t="n"/>
      <c r="C14" s="12" t="n"/>
      <c r="D14" s="12" t="n"/>
      <c r="E14" s="12" t="n"/>
      <c r="F14" s="13" t="n">
        <v>0.1</v>
      </c>
      <c r="G14" s="12" t="n">
        <v>0</v>
      </c>
      <c r="H14" s="20">
        <f>IF(B14="","",B14*$C$3)</f>
        <v/>
      </c>
      <c r="I14" s="20">
        <f>IF(B14="","",H14*F14)</f>
        <v/>
      </c>
      <c r="J14" s="20">
        <f>IF(B14="","",C14+D14+E14+I14+G14)</f>
        <v/>
      </c>
      <c r="K14" s="20">
        <f>IF(B14="","",H14-J14)</f>
        <v/>
      </c>
      <c r="L14" s="21">
        <f>IF(OR(B14="",H14=0),"",K14/H14)</f>
        <v/>
      </c>
      <c r="M14" s="21">
        <f>IF(OR(B14="",(C14+D14+E14+G14)=0),"",K14/(C14+D14+E14+G14))</f>
        <v/>
      </c>
    </row>
    <row r="15">
      <c r="A15" s="8" t="n"/>
      <c r="B15" s="11" t="n"/>
      <c r="C15" s="12" t="n"/>
      <c r="D15" s="12" t="n"/>
      <c r="E15" s="12" t="n"/>
      <c r="F15" s="13" t="n">
        <v>0.1</v>
      </c>
      <c r="G15" s="12" t="n">
        <v>0</v>
      </c>
      <c r="H15" s="20">
        <f>IF(B15="","",B15*$C$3)</f>
        <v/>
      </c>
      <c r="I15" s="20">
        <f>IF(B15="","",H15*F15)</f>
        <v/>
      </c>
      <c r="J15" s="20">
        <f>IF(B15="","",C15+D15+E15+I15+G15)</f>
        <v/>
      </c>
      <c r="K15" s="20">
        <f>IF(B15="","",H15-J15)</f>
        <v/>
      </c>
      <c r="L15" s="21">
        <f>IF(OR(B15="",H15=0),"",K15/H15)</f>
        <v/>
      </c>
      <c r="M15" s="21">
        <f>IF(OR(B15="",(C15+D15+E15+G15)=0),"",K15/(C15+D15+E15+G15))</f>
        <v/>
      </c>
    </row>
    <row r="16">
      <c r="A16" s="8" t="n"/>
      <c r="B16" s="11" t="n"/>
      <c r="C16" s="12" t="n"/>
      <c r="D16" s="12" t="n"/>
      <c r="E16" s="12" t="n"/>
      <c r="F16" s="13" t="n">
        <v>0.1</v>
      </c>
      <c r="G16" s="12" t="n">
        <v>0</v>
      </c>
      <c r="H16" s="20">
        <f>IF(B16="","",B16*$C$3)</f>
        <v/>
      </c>
      <c r="I16" s="20">
        <f>IF(B16="","",H16*F16)</f>
        <v/>
      </c>
      <c r="J16" s="20">
        <f>IF(B16="","",C16+D16+E16+I16+G16)</f>
        <v/>
      </c>
      <c r="K16" s="20">
        <f>IF(B16="","",H16-J16)</f>
        <v/>
      </c>
      <c r="L16" s="21">
        <f>IF(OR(B16="",H16=0),"",K16/H16)</f>
        <v/>
      </c>
      <c r="M16" s="21">
        <f>IF(OR(B16="",(C16+D16+E16+G16)=0),"",K16/(C16+D16+E16+G16))</f>
        <v/>
      </c>
    </row>
    <row r="17">
      <c r="A17" s="8" t="n"/>
      <c r="B17" s="11" t="n"/>
      <c r="C17" s="12" t="n"/>
      <c r="D17" s="12" t="n"/>
      <c r="E17" s="12" t="n"/>
      <c r="F17" s="13" t="n">
        <v>0.1</v>
      </c>
      <c r="G17" s="12" t="n">
        <v>0</v>
      </c>
      <c r="H17" s="20">
        <f>IF(B17="","",B17*$C$3)</f>
        <v/>
      </c>
      <c r="I17" s="20">
        <f>IF(B17="","",H17*F17)</f>
        <v/>
      </c>
      <c r="J17" s="20">
        <f>IF(B17="","",C17+D17+E17+I17+G17)</f>
        <v/>
      </c>
      <c r="K17" s="20">
        <f>IF(B17="","",H17-J17)</f>
        <v/>
      </c>
      <c r="L17" s="21">
        <f>IF(OR(B17="",H17=0),"",K17/H17)</f>
        <v/>
      </c>
      <c r="M17" s="21">
        <f>IF(OR(B17="",(C17+D17+E17+G17)=0),"",K17/(C17+D17+E17+G17))</f>
        <v/>
      </c>
    </row>
    <row r="18">
      <c r="A18" s="8" t="n"/>
      <c r="B18" s="11" t="n"/>
      <c r="C18" s="12" t="n"/>
      <c r="D18" s="12" t="n"/>
      <c r="E18" s="12" t="n"/>
      <c r="F18" s="13" t="n">
        <v>0.1</v>
      </c>
      <c r="G18" s="12" t="n">
        <v>0</v>
      </c>
      <c r="H18" s="20">
        <f>IF(B18="","",B18*$C$3)</f>
        <v/>
      </c>
      <c r="I18" s="20">
        <f>IF(B18="","",H18*F18)</f>
        <v/>
      </c>
      <c r="J18" s="20">
        <f>IF(B18="","",C18+D18+E18+I18+G18)</f>
        <v/>
      </c>
      <c r="K18" s="20">
        <f>IF(B18="","",H18-J18)</f>
        <v/>
      </c>
      <c r="L18" s="21">
        <f>IF(OR(B18="",H18=0),"",K18/H18)</f>
        <v/>
      </c>
      <c r="M18" s="21">
        <f>IF(OR(B18="",(C18+D18+E18+G18)=0),"",K18/(C18+D18+E18+G18))</f>
        <v/>
      </c>
    </row>
    <row r="19">
      <c r="A19" s="8" t="n"/>
      <c r="B19" s="11" t="n"/>
      <c r="C19" s="12" t="n"/>
      <c r="D19" s="12" t="n"/>
      <c r="E19" s="12" t="n"/>
      <c r="F19" s="13" t="n">
        <v>0.1</v>
      </c>
      <c r="G19" s="12" t="n">
        <v>0</v>
      </c>
      <c r="H19" s="20">
        <f>IF(B19="","",B19*$C$3)</f>
        <v/>
      </c>
      <c r="I19" s="20">
        <f>IF(B19="","",H19*F19)</f>
        <v/>
      </c>
      <c r="J19" s="20">
        <f>IF(B19="","",C19+D19+E19+I19+G19)</f>
        <v/>
      </c>
      <c r="K19" s="20">
        <f>IF(B19="","",H19-J19)</f>
        <v/>
      </c>
      <c r="L19" s="21">
        <f>IF(OR(B19="",H19=0),"",K19/H19)</f>
        <v/>
      </c>
      <c r="M19" s="21">
        <f>IF(OR(B19="",(C19+D19+E19+G19)=0),"",K19/(C19+D19+E19+G19))</f>
        <v/>
      </c>
    </row>
    <row r="20">
      <c r="A20" s="8" t="n"/>
      <c r="B20" s="11" t="n"/>
      <c r="C20" s="12" t="n"/>
      <c r="D20" s="12" t="n"/>
      <c r="E20" s="12" t="n"/>
      <c r="F20" s="13" t="n">
        <v>0.1</v>
      </c>
      <c r="G20" s="12" t="n">
        <v>0</v>
      </c>
      <c r="H20" s="20">
        <f>IF(B20="","",B20*$C$3)</f>
        <v/>
      </c>
      <c r="I20" s="20">
        <f>IF(B20="","",H20*F20)</f>
        <v/>
      </c>
      <c r="J20" s="20">
        <f>IF(B20="","",C20+D20+E20+I20+G20)</f>
        <v/>
      </c>
      <c r="K20" s="20">
        <f>IF(B20="","",H20-J20)</f>
        <v/>
      </c>
      <c r="L20" s="21">
        <f>IF(OR(B20="",H20=0),"",K20/H20)</f>
        <v/>
      </c>
      <c r="M20" s="21">
        <f>IF(OR(B20="",(C20+D20+E20+G20)=0),"",K20/(C20+D20+E20+G20))</f>
        <v/>
      </c>
    </row>
    <row r="21">
      <c r="A21" s="8" t="n"/>
      <c r="B21" s="11" t="n"/>
      <c r="C21" s="12" t="n"/>
      <c r="D21" s="12" t="n"/>
      <c r="E21" s="12" t="n"/>
      <c r="F21" s="13" t="n">
        <v>0.1</v>
      </c>
      <c r="G21" s="12" t="n">
        <v>0</v>
      </c>
      <c r="H21" s="20">
        <f>IF(B21="","",B21*$C$3)</f>
        <v/>
      </c>
      <c r="I21" s="20">
        <f>IF(B21="","",H21*F21)</f>
        <v/>
      </c>
      <c r="J21" s="20">
        <f>IF(B21="","",C21+D21+E21+I21+G21)</f>
        <v/>
      </c>
      <c r="K21" s="20">
        <f>IF(B21="","",H21-J21)</f>
        <v/>
      </c>
      <c r="L21" s="21">
        <f>IF(OR(B21="",H21=0),"",K21/H21)</f>
        <v/>
      </c>
      <c r="M21" s="21">
        <f>IF(OR(B21="",(C21+D21+E21+G21)=0),"",K21/(C21+D21+E21+G21))</f>
        <v/>
      </c>
    </row>
    <row r="22">
      <c r="A22" s="8" t="n"/>
      <c r="B22" s="11" t="n"/>
      <c r="C22" s="12" t="n"/>
      <c r="D22" s="12" t="n"/>
      <c r="E22" s="12" t="n"/>
      <c r="F22" s="13" t="n">
        <v>0.1</v>
      </c>
      <c r="G22" s="12" t="n">
        <v>0</v>
      </c>
      <c r="H22" s="20">
        <f>IF(B22="","",B22*$C$3)</f>
        <v/>
      </c>
      <c r="I22" s="20">
        <f>IF(B22="","",H22*F22)</f>
        <v/>
      </c>
      <c r="J22" s="20">
        <f>IF(B22="","",C22+D22+E22+I22+G22)</f>
        <v/>
      </c>
      <c r="K22" s="20">
        <f>IF(B22="","",H22-J22)</f>
        <v/>
      </c>
      <c r="L22" s="21">
        <f>IF(OR(B22="",H22=0),"",K22/H22)</f>
        <v/>
      </c>
      <c r="M22" s="21">
        <f>IF(OR(B22="",(C22+D22+E22+G22)=0),"",K22/(C22+D22+E22+G22))</f>
        <v/>
      </c>
    </row>
    <row r="23">
      <c r="A23" s="8" t="n"/>
      <c r="B23" s="11" t="n"/>
      <c r="C23" s="12" t="n"/>
      <c r="D23" s="12" t="n"/>
      <c r="E23" s="12" t="n"/>
      <c r="F23" s="13" t="n">
        <v>0.1</v>
      </c>
      <c r="G23" s="12" t="n">
        <v>0</v>
      </c>
      <c r="H23" s="20">
        <f>IF(B23="","",B23*$C$3)</f>
        <v/>
      </c>
      <c r="I23" s="20">
        <f>IF(B23="","",H23*F23)</f>
        <v/>
      </c>
      <c r="J23" s="20">
        <f>IF(B23="","",C23+D23+E23+I23+G23)</f>
        <v/>
      </c>
      <c r="K23" s="20">
        <f>IF(B23="","",H23-J23)</f>
        <v/>
      </c>
      <c r="L23" s="21">
        <f>IF(OR(B23="",H23=0),"",K23/H23)</f>
        <v/>
      </c>
      <c r="M23" s="21">
        <f>IF(OR(B23="",(C23+D23+E23+G23)=0),"",K23/(C23+D23+E23+G23))</f>
        <v/>
      </c>
    </row>
    <row r="24">
      <c r="A24" s="8" t="n"/>
      <c r="B24" s="11" t="n"/>
      <c r="C24" s="12" t="n"/>
      <c r="D24" s="12" t="n"/>
      <c r="E24" s="12" t="n"/>
      <c r="F24" s="13" t="n">
        <v>0.1</v>
      </c>
      <c r="G24" s="12" t="n">
        <v>0</v>
      </c>
      <c r="H24" s="20">
        <f>IF(B24="","",B24*$C$3)</f>
        <v/>
      </c>
      <c r="I24" s="20">
        <f>IF(B24="","",H24*F24)</f>
        <v/>
      </c>
      <c r="J24" s="20">
        <f>IF(B24="","",C24+D24+E24+I24+G24)</f>
        <v/>
      </c>
      <c r="K24" s="20">
        <f>IF(B24="","",H24-J24)</f>
        <v/>
      </c>
      <c r="L24" s="21">
        <f>IF(OR(B24="",H24=0),"",K24/H24)</f>
        <v/>
      </c>
      <c r="M24" s="21">
        <f>IF(OR(B24="",(C24+D24+E24+G24)=0),"",K24/(C24+D24+E24+G24))</f>
        <v/>
      </c>
    </row>
    <row r="25">
      <c r="A25" s="8" t="n"/>
      <c r="B25" s="11" t="n"/>
      <c r="C25" s="12" t="n"/>
      <c r="D25" s="12" t="n"/>
      <c r="E25" s="12" t="n"/>
      <c r="F25" s="13" t="n">
        <v>0.1</v>
      </c>
      <c r="G25" s="12" t="n">
        <v>0</v>
      </c>
      <c r="H25" s="20">
        <f>IF(B25="","",B25*$C$3)</f>
        <v/>
      </c>
      <c r="I25" s="20">
        <f>IF(B25="","",H25*F25)</f>
        <v/>
      </c>
      <c r="J25" s="20">
        <f>IF(B25="","",C25+D25+E25+I25+G25)</f>
        <v/>
      </c>
      <c r="K25" s="20">
        <f>IF(B25="","",H25-J25)</f>
        <v/>
      </c>
      <c r="L25" s="21">
        <f>IF(OR(B25="",H25=0),"",K25/H25)</f>
        <v/>
      </c>
      <c r="M25" s="21">
        <f>IF(OR(B25="",(C25+D25+E25+G25)=0),"",K25/(C25+D25+E25+G25))</f>
        <v/>
      </c>
    </row>
    <row r="26">
      <c r="A26" s="8" t="n"/>
      <c r="B26" s="11" t="n"/>
      <c r="C26" s="12" t="n"/>
      <c r="D26" s="12" t="n"/>
      <c r="E26" s="12" t="n"/>
      <c r="F26" s="13" t="n">
        <v>0.1</v>
      </c>
      <c r="G26" s="12" t="n">
        <v>0</v>
      </c>
      <c r="H26" s="20">
        <f>IF(B26="","",B26*$C$3)</f>
        <v/>
      </c>
      <c r="I26" s="20">
        <f>IF(B26="","",H26*F26)</f>
        <v/>
      </c>
      <c r="J26" s="20">
        <f>IF(B26="","",C26+D26+E26+I26+G26)</f>
        <v/>
      </c>
      <c r="K26" s="20">
        <f>IF(B26="","",H26-J26)</f>
        <v/>
      </c>
      <c r="L26" s="21">
        <f>IF(OR(B26="",H26=0),"",K26/H26)</f>
        <v/>
      </c>
      <c r="M26" s="21">
        <f>IF(OR(B26="",(C26+D26+E26+G26)=0),"",K26/(C26+D26+E26+G26))</f>
        <v/>
      </c>
    </row>
    <row r="27">
      <c r="A27" s="8" t="n"/>
      <c r="B27" s="11" t="n"/>
      <c r="C27" s="12" t="n"/>
      <c r="D27" s="12" t="n"/>
      <c r="E27" s="12" t="n"/>
      <c r="F27" s="13" t="n">
        <v>0.1</v>
      </c>
      <c r="G27" s="12" t="n">
        <v>0</v>
      </c>
      <c r="H27" s="20">
        <f>IF(B27="","",B27*$C$3)</f>
        <v/>
      </c>
      <c r="I27" s="20">
        <f>IF(B27="","",H27*F27)</f>
        <v/>
      </c>
      <c r="J27" s="20">
        <f>IF(B27="","",C27+D27+E27+I27+G27)</f>
        <v/>
      </c>
      <c r="K27" s="20">
        <f>IF(B27="","",H27-J27)</f>
        <v/>
      </c>
      <c r="L27" s="21">
        <f>IF(OR(B27="",H27=0),"",K27/H27)</f>
        <v/>
      </c>
      <c r="M27" s="21">
        <f>IF(OR(B27="",(C27+D27+E27+G27)=0),"",K27/(C27+D27+E27+G27))</f>
        <v/>
      </c>
    </row>
    <row r="28">
      <c r="A28" s="8" t="n"/>
      <c r="B28" s="11" t="n"/>
      <c r="C28" s="12" t="n"/>
      <c r="D28" s="12" t="n"/>
      <c r="E28" s="12" t="n"/>
      <c r="F28" s="13" t="n">
        <v>0.1</v>
      </c>
      <c r="G28" s="12" t="n">
        <v>0</v>
      </c>
      <c r="H28" s="20">
        <f>IF(B28="","",B28*$C$3)</f>
        <v/>
      </c>
      <c r="I28" s="20">
        <f>IF(B28="","",H28*F28)</f>
        <v/>
      </c>
      <c r="J28" s="20">
        <f>IF(B28="","",C28+D28+E28+I28+G28)</f>
        <v/>
      </c>
      <c r="K28" s="20">
        <f>IF(B28="","",H28-J28)</f>
        <v/>
      </c>
      <c r="L28" s="21">
        <f>IF(OR(B28="",H28=0),"",K28/H28)</f>
        <v/>
      </c>
      <c r="M28" s="21">
        <f>IF(OR(B28="",(C28+D28+E28+G28)=0),"",K28/(C28+D28+E28+G28))</f>
        <v/>
      </c>
    </row>
    <row r="29">
      <c r="A29" s="8" t="n"/>
      <c r="B29" s="11" t="n"/>
      <c r="C29" s="12" t="n"/>
      <c r="D29" s="12" t="n"/>
      <c r="E29" s="12" t="n"/>
      <c r="F29" s="13" t="n">
        <v>0.1</v>
      </c>
      <c r="G29" s="12" t="n">
        <v>0</v>
      </c>
      <c r="H29" s="20">
        <f>IF(B29="","",B29*$C$3)</f>
        <v/>
      </c>
      <c r="I29" s="20">
        <f>IF(B29="","",H29*F29)</f>
        <v/>
      </c>
      <c r="J29" s="20">
        <f>IF(B29="","",C29+D29+E29+I29+G29)</f>
        <v/>
      </c>
      <c r="K29" s="20">
        <f>IF(B29="","",H29-J29)</f>
        <v/>
      </c>
      <c r="L29" s="21">
        <f>IF(OR(B29="",H29=0),"",K29/H29)</f>
        <v/>
      </c>
      <c r="M29" s="21">
        <f>IF(OR(B29="",(C29+D29+E29+G29)=0),"",K29/(C29+D29+E29+G29))</f>
        <v/>
      </c>
    </row>
    <row r="30">
      <c r="A30" s="8" t="n"/>
      <c r="B30" s="11" t="n"/>
      <c r="C30" s="12" t="n"/>
      <c r="D30" s="12" t="n"/>
      <c r="E30" s="12" t="n"/>
      <c r="F30" s="13" t="n">
        <v>0.1</v>
      </c>
      <c r="G30" s="12" t="n">
        <v>0</v>
      </c>
      <c r="H30" s="20">
        <f>IF(B30="","",B30*$C$3)</f>
        <v/>
      </c>
      <c r="I30" s="20">
        <f>IF(B30="","",H30*F30)</f>
        <v/>
      </c>
      <c r="J30" s="20">
        <f>IF(B30="","",C30+D30+E30+I30+G30)</f>
        <v/>
      </c>
      <c r="K30" s="20">
        <f>IF(B30="","",H30-J30)</f>
        <v/>
      </c>
      <c r="L30" s="21">
        <f>IF(OR(B30="",H30=0),"",K30/H30)</f>
        <v/>
      </c>
      <c r="M30" s="21">
        <f>IF(OR(B30="",(C30+D30+E30+G30)=0),"",K30/(C30+D30+E30+G30))</f>
        <v/>
      </c>
    </row>
    <row r="31">
      <c r="A31" s="8" t="n"/>
      <c r="B31" s="11" t="n"/>
      <c r="C31" s="12" t="n"/>
      <c r="D31" s="12" t="n"/>
      <c r="E31" s="12" t="n"/>
      <c r="F31" s="13" t="n">
        <v>0.1</v>
      </c>
      <c r="G31" s="12" t="n">
        <v>0</v>
      </c>
      <c r="H31" s="20">
        <f>IF(B31="","",B31*$C$3)</f>
        <v/>
      </c>
      <c r="I31" s="20">
        <f>IF(B31="","",H31*F31)</f>
        <v/>
      </c>
      <c r="J31" s="20">
        <f>IF(B31="","",C31+D31+E31+I31+G31)</f>
        <v/>
      </c>
      <c r="K31" s="20">
        <f>IF(B31="","",H31-J31)</f>
        <v/>
      </c>
      <c r="L31" s="21">
        <f>IF(OR(B31="",H31=0),"",K31/H31)</f>
        <v/>
      </c>
      <c r="M31" s="21">
        <f>IF(OR(B31="",(C31+D31+E31+G31)=0),"",K31/(C31+D31+E31+G31))</f>
        <v/>
      </c>
    </row>
    <row r="32">
      <c r="A32" s="8" t="n"/>
      <c r="B32" s="11" t="n"/>
      <c r="C32" s="12" t="n"/>
      <c r="D32" s="12" t="n"/>
      <c r="E32" s="12" t="n"/>
      <c r="F32" s="13" t="n">
        <v>0.1</v>
      </c>
      <c r="G32" s="12" t="n">
        <v>0</v>
      </c>
      <c r="H32" s="20">
        <f>IF(B32="","",B32*$C$3)</f>
        <v/>
      </c>
      <c r="I32" s="20">
        <f>IF(B32="","",H32*F32)</f>
        <v/>
      </c>
      <c r="J32" s="20">
        <f>IF(B32="","",C32+D32+E32+I32+G32)</f>
        <v/>
      </c>
      <c r="K32" s="20">
        <f>IF(B32="","",H32-J32)</f>
        <v/>
      </c>
      <c r="L32" s="21">
        <f>IF(OR(B32="",H32=0),"",K32/H32)</f>
        <v/>
      </c>
      <c r="M32" s="21">
        <f>IF(OR(B32="",(C32+D32+E32+G32)=0),"",K32/(C32+D32+E32+G32))</f>
        <v/>
      </c>
    </row>
    <row r="33">
      <c r="A33" s="8" t="n"/>
      <c r="B33" s="11" t="n"/>
      <c r="C33" s="12" t="n"/>
      <c r="D33" s="12" t="n"/>
      <c r="E33" s="12" t="n"/>
      <c r="F33" s="13" t="n">
        <v>0.1</v>
      </c>
      <c r="G33" s="12" t="n">
        <v>0</v>
      </c>
      <c r="H33" s="20">
        <f>IF(B33="","",B33*$C$3)</f>
        <v/>
      </c>
      <c r="I33" s="20">
        <f>IF(B33="","",H33*F33)</f>
        <v/>
      </c>
      <c r="J33" s="20">
        <f>IF(B33="","",C33+D33+E33+I33+G33)</f>
        <v/>
      </c>
      <c r="K33" s="20">
        <f>IF(B33="","",H33-J33)</f>
        <v/>
      </c>
      <c r="L33" s="21">
        <f>IF(OR(B33="",H33=0),"",K33/H33)</f>
        <v/>
      </c>
      <c r="M33" s="21">
        <f>IF(OR(B33="",(C33+D33+E33+G33)=0),"",K33/(C33+D33+E33+G33))</f>
        <v/>
      </c>
    </row>
    <row r="34">
      <c r="A34" s="8" t="n"/>
      <c r="B34" s="11" t="n"/>
      <c r="C34" s="12" t="n"/>
      <c r="D34" s="12" t="n"/>
      <c r="E34" s="12" t="n"/>
      <c r="F34" s="13" t="n">
        <v>0.1</v>
      </c>
      <c r="G34" s="12" t="n">
        <v>0</v>
      </c>
      <c r="H34" s="20">
        <f>IF(B34="","",B34*$C$3)</f>
        <v/>
      </c>
      <c r="I34" s="20">
        <f>IF(B34="","",H34*F34)</f>
        <v/>
      </c>
      <c r="J34" s="20">
        <f>IF(B34="","",C34+D34+E34+I34+G34)</f>
        <v/>
      </c>
      <c r="K34" s="20">
        <f>IF(B34="","",H34-J34)</f>
        <v/>
      </c>
      <c r="L34" s="21">
        <f>IF(OR(B34="",H34=0),"",K34/H34)</f>
        <v/>
      </c>
      <c r="M34" s="21">
        <f>IF(OR(B34="",(C34+D34+E34+G34)=0),"",K34/(C34+D34+E34+G34))</f>
        <v/>
      </c>
    </row>
    <row r="35">
      <c r="A35" s="8" t="n"/>
      <c r="B35" s="11" t="n"/>
      <c r="C35" s="12" t="n"/>
      <c r="D35" s="12" t="n"/>
      <c r="E35" s="12" t="n"/>
      <c r="F35" s="13" t="n">
        <v>0.1</v>
      </c>
      <c r="G35" s="12" t="n">
        <v>0</v>
      </c>
      <c r="H35" s="20">
        <f>IF(B35="","",B35*$C$3)</f>
        <v/>
      </c>
      <c r="I35" s="20">
        <f>IF(B35="","",H35*F35)</f>
        <v/>
      </c>
      <c r="J35" s="20">
        <f>IF(B35="","",C35+D35+E35+I35+G35)</f>
        <v/>
      </c>
      <c r="K35" s="20">
        <f>IF(B35="","",H35-J35)</f>
        <v/>
      </c>
      <c r="L35" s="21">
        <f>IF(OR(B35="",H35=0),"",K35/H35)</f>
        <v/>
      </c>
      <c r="M35" s="21">
        <f>IF(OR(B35="",(C35+D35+E35+G35)=0),"",K35/(C35+D35+E35+G35))</f>
        <v/>
      </c>
    </row>
    <row r="36">
      <c r="A36" s="3" t="inlineStr">
        <is>
          <t>합계</t>
        </is>
      </c>
      <c r="H36" s="14">
        <f>SUM(H6:H35)</f>
        <v/>
      </c>
      <c r="I36" s="14">
        <f>SUM(I6:I35)</f>
        <v/>
      </c>
      <c r="J36" s="14">
        <f>SUM(J6:J35)</f>
        <v/>
      </c>
      <c r="K36" s="14">
        <f>SUM(K6:K35)</f>
        <v/>
      </c>
      <c r="L36" s="15">
        <f>IF(H36=0,"",K36/H36)</f>
        <v/>
      </c>
    </row>
  </sheetData>
  <mergeCells count="2">
    <mergeCell ref="A3:B3"/>
    <mergeCell ref="A1:E1"/>
  </mergeCells>
  <conditionalFormatting sqref="K6:L36">
    <cfRule type="cellIs" priority="1" operator="lessThan" dxfId="0">
      <formula>0</formula>
    </cfRule>
  </conditionalFormatting>
  <conditionalFormatting sqref="L6:L35">
    <cfRule type="cellIs" priority="2" operator="greaterThanOrEqual" dxfId="1">
      <formula>0.15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8" customHeight="1">
      <c r="A1" s="1" t="inlineStr">
        <is>
          <t>큐텐 재팬 마진 계산기 — 사용법</t>
        </is>
      </c>
    </row>
    <row r="3">
      <c r="A3" s="19" t="inlineStr">
        <is>
          <t>항목</t>
        </is>
      </c>
      <c r="B3" s="19" t="inlineStr">
        <is>
          <t>설명</t>
        </is>
      </c>
    </row>
    <row r="4" ht="46" customHeight="1">
      <c r="A4" s="3" t="inlineStr">
        <is>
          <t>계산식 (기본)</t>
        </is>
      </c>
      <c r="B4" s="22" t="inlineStr">
        <is>
          <t>순이익 = 판매가격 − 상품원가 − 국제배송비 − 포장비 − 큐텐수수료 − 기타비용</t>
        </is>
      </c>
    </row>
    <row r="5" ht="46" customHeight="1">
      <c r="A5" s="3" t="inlineStr">
        <is>
          <t>① 환율 (C5)</t>
        </is>
      </c>
      <c r="B5" s="22" t="inlineStr">
        <is>
          <t>1엔당 원화입니다. 100엔 = 930원이면 9.30 을 넣습니다. '여러 상품 한번에' 시트는 C3에 따로 넣습니다.</t>
        </is>
      </c>
    </row>
    <row r="6" ht="30" customHeight="1">
      <c r="A6" s="3" t="inlineStr">
        <is>
          <t>② 판매가격 (C6)</t>
        </is>
      </c>
      <c r="B6" s="22" t="inlineStr">
        <is>
          <t>큐텐에 등록한 엔화 판매가입니다. 원화 환산은 자동입니다.</t>
        </is>
      </c>
    </row>
    <row r="7" ht="46" customHeight="1">
      <c r="A7" s="3" t="inlineStr">
        <is>
          <t>③ 큐텐 수수료율 (C10)</t>
        </is>
      </c>
      <c r="B7" s="22" t="inlineStr">
        <is>
          <t>판매수수료와 결제수수료를 합한 값입니다. 기본값 10%는 예시이며 카테고리에 따라 다르므로 큐텐 셀러오피스의 실제 요율로 바꿔 쓰세요.</t>
        </is>
      </c>
    </row>
    <row r="8" ht="46" customHeight="1">
      <c r="A8" s="3" t="inlineStr">
        <is>
          <t>④ 기타비용 (C11)</t>
        </is>
      </c>
      <c r="B8" s="22" t="inlineStr">
        <is>
          <t>광고비, 쿠폰 부담금, 부자재, 반품 손실 등 위 항목에 없는 비용을 여기에 합산합니다.</t>
        </is>
      </c>
    </row>
    <row r="9" ht="30" customHeight="1">
      <c r="A9" s="3" t="inlineStr">
        <is>
          <t>결과 — 마진율</t>
        </is>
      </c>
      <c r="B9" s="22" t="inlineStr">
        <is>
          <t>순이익 ÷ 판매가격(원). 0 미만은 빨강, 15% 이상은 초록.</t>
        </is>
      </c>
    </row>
    <row r="10" ht="46" customHeight="1">
      <c r="A10" s="3" t="inlineStr">
        <is>
          <t>결과 — ROI</t>
        </is>
      </c>
      <c r="B10" s="22" t="inlineStr">
        <is>
          <t>순이익 ÷ 투입원가(상품원가+국제배송비+포장비+기타비용). 자금 회전율을 볼 때 씁니다.</t>
        </is>
      </c>
    </row>
    <row r="11" ht="30" customHeight="1">
      <c r="A11" s="3" t="inlineStr">
        <is>
          <t>판매가 역산 — 손익분기가</t>
        </is>
      </c>
      <c r="B11" s="22" t="inlineStr">
        <is>
          <t>순이익이 정확히 0이 되는 엔화 판매가입니다. 이 값보다 낮게 팔면 적자입니다.</t>
        </is>
      </c>
    </row>
    <row r="12" ht="30" customHeight="1">
      <c r="A12" s="3" t="inlineStr">
        <is>
          <t>판매가 역산 — 목표마진 달성가</t>
        </is>
      </c>
      <c r="B12" s="22" t="inlineStr">
        <is>
          <t>C12에 넣은 목표 마진율을 맞추려면 얼마에 팔아야 하는지 알려줍니다.</t>
        </is>
      </c>
    </row>
    <row r="13" ht="46" customHeight="1">
      <c r="A13" s="3" t="inlineStr">
        <is>
          <t>판매가 역산 — 손익분기 환율</t>
        </is>
      </c>
      <c r="B13" s="22" t="inlineStr">
        <is>
          <t>지금 판매가를 유지할 때 버틸 수 있는 최저 환율입니다. 엔저가 진행되면 이 값을 먼저 확인하세요.</t>
        </is>
      </c>
    </row>
    <row r="14" ht="46" customHeight="1">
      <c r="A14" s="3" t="inlineStr">
        <is>
          <t>여러 상품 한번에</t>
        </is>
      </c>
      <c r="B14" s="22" t="inlineStr">
        <is>
          <t>두 번째 시트에 상품을 최대 30개까지 넣고 한눈에 비교할 수 있습니다. 맨 아래에 합계와 전체 마진율이 나옵니다.</t>
        </is>
      </c>
    </row>
    <row r="15" ht="46" customHeight="1">
      <c r="A15" s="3" t="inlineStr">
        <is>
          <t>부가세</t>
        </is>
      </c>
      <c r="B15" s="22" t="inlineStr">
        <is>
          <t>한국 수출은 영세율(0%)이라 매출 부가세를 계산에 넣지 않았습니다. 매입 부가세 환급을 반영하려면 상품원가를 공급가액(부가세 제외)으로 넣으세요.</t>
        </is>
      </c>
    </row>
    <row r="16" ht="46" customHeight="1">
      <c r="A16" s="3" t="inlineStr">
        <is>
          <t>환율 확인</t>
        </is>
      </c>
      <c r="B16" s="22" t="inlineStr">
        <is>
          <t>실시간 환율은 https://margin.ur-team.com 사이드바에서 볼 수 있습니다.</t>
        </is>
      </c>
    </row>
    <row r="18">
      <c r="A18" s="10" t="inlineStr">
        <is>
          <t>※ 이 파일의 계산 결과는 참고용 추정치입니다. 수수료율·환율·관세는 실제 정산 시점의 값과 다를 수 있습니다.</t>
        </is>
      </c>
    </row>
    <row r="19">
      <c r="A19" s="10" t="inlineStr">
        <is>
          <t>만든 곳 · 유어팀 글로벌 마진 계산기 https://margin.ur-team.com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2026-09-04T02:14:32Z</dcterms:created>
  <dcterms:modified xsi:type="dcterms:W3CDTF">2026-09-04T02:14:32Z</dcterms:modified>
</cp:coreProperties>
</file>